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201"/>
  <workbookPr/>
  <bookViews>
    <workbookView xWindow="0" yWindow="0" windowWidth="16384" windowHeight="8192" tabRatio="500" xr2:uid="{00000000-000D-0000-FFFF-FFFF00000000}"/>
  </bookViews>
  <sheets>
    <sheet name="Ozet Dashboard" sheetId="1" r:id="rId1"/>
    <sheet name="Gelir-Gider Girisi" sheetId="2" r:id="rId2"/>
    <sheet name="Kredi Kartlari" sheetId="3" r:id="rId3"/>
    <sheet name="Taksit Takip" sheetId="4" r:id="rId4"/>
    <sheet name="Borc Takip" sheetId="5" r:id="rId5"/>
    <sheet name="Butce Plani" sheetId="6" r:id="rId6"/>
    <sheet name="Tasarruf Hedefleri" sheetId="7" r:id="rId7"/>
    <sheet name="Yillik Rapor" sheetId="8" r:id="rId8"/>
  </sheets>
  <calcPr calcId="171026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8" i="8" l="1"/>
  <c r="B8" i="8"/>
  <c r="C8" i="8"/>
  <c r="D8" i="8"/>
  <c r="E8" i="8"/>
  <c r="K7" i="8"/>
  <c r="D5" i="8"/>
  <c r="H5" i="8"/>
  <c r="D6" i="8"/>
  <c r="H6" i="8"/>
  <c r="D7" i="8"/>
  <c r="H7" i="8"/>
  <c r="G7" i="8"/>
  <c r="F7" i="8"/>
  <c r="E7" i="8"/>
  <c r="K6" i="8"/>
  <c r="G6" i="8"/>
  <c r="F6" i="8"/>
  <c r="E6" i="8"/>
  <c r="K5" i="8"/>
  <c r="E5" i="8"/>
  <c r="D9" i="7"/>
  <c r="G9" i="7"/>
  <c r="E9" i="7"/>
  <c r="D8" i="7"/>
  <c r="G8" i="7"/>
  <c r="E8" i="7"/>
  <c r="D7" i="7"/>
  <c r="G7" i="7"/>
  <c r="E7" i="7"/>
  <c r="D6" i="7"/>
  <c r="G6" i="7"/>
  <c r="E6" i="7"/>
  <c r="D5" i="7"/>
  <c r="G5" i="7"/>
  <c r="E5" i="7"/>
  <c r="C20" i="6"/>
  <c r="B20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G14" i="5"/>
  <c r="G15" i="5"/>
  <c r="G16" i="5"/>
  <c r="G18" i="5"/>
  <c r="E18" i="5"/>
  <c r="G5" i="5"/>
  <c r="G6" i="5"/>
  <c r="G7" i="5"/>
  <c r="G10" i="5"/>
  <c r="E10" i="5"/>
  <c r="H5" i="4"/>
  <c r="G5" i="4"/>
  <c r="I5" i="4"/>
  <c r="H6" i="4"/>
  <c r="G6" i="4"/>
  <c r="I6" i="4"/>
  <c r="H7" i="4"/>
  <c r="G7" i="4"/>
  <c r="I7" i="4"/>
  <c r="H8" i="4"/>
  <c r="G8" i="4"/>
  <c r="I8" i="4"/>
  <c r="H9" i="4"/>
  <c r="G9" i="4"/>
  <c r="I9" i="4"/>
  <c r="I10" i="4"/>
  <c r="H10" i="4"/>
  <c r="D10" i="4"/>
  <c r="H16" i="3"/>
  <c r="J16" i="3"/>
  <c r="H15" i="3"/>
  <c r="J15" i="3"/>
  <c r="H14" i="3"/>
  <c r="J14" i="3"/>
  <c r="H13" i="3"/>
  <c r="J13" i="3"/>
  <c r="H12" i="3"/>
  <c r="J12" i="3"/>
  <c r="H5" i="3"/>
  <c r="H6" i="3"/>
  <c r="H7" i="3"/>
  <c r="H8" i="3"/>
  <c r="E8" i="3"/>
  <c r="D8" i="3"/>
  <c r="F8" i="3"/>
  <c r="F7" i="3"/>
  <c r="F6" i="3"/>
  <c r="F5" i="3"/>
  <c r="E12" i="2"/>
  <c r="E26" i="2"/>
  <c r="E28" i="2"/>
  <c r="B22" i="1"/>
  <c r="C22" i="1"/>
  <c r="D22" i="1"/>
  <c r="E22" i="1"/>
  <c r="D12" i="1"/>
  <c r="E12" i="1"/>
  <c r="D11" i="1"/>
  <c r="E11" i="1"/>
  <c r="D10" i="1"/>
  <c r="E10" i="1"/>
</calcChain>
</file>

<file path=xl/sharedStrings.xml><?xml version="1.0" encoding="utf-8"?>
<sst xmlns="http://schemas.openxmlformats.org/spreadsheetml/2006/main" count="454" uniqueCount="277">
  <si>
    <t>FINANSAPP — KISISEL BUTCE TAKIP SISTEMI  |  2025</t>
  </si>
  <si>
    <t>TOPLAM GELIR</t>
  </si>
  <si>
    <t>TOPLAM GIDER</t>
  </si>
  <si>
    <t>NET KAR</t>
  </si>
  <si>
    <t>KART BORCU</t>
  </si>
  <si>
    <t>18.450 TL</t>
  </si>
  <si>
    <t>12.830 TL</t>
  </si>
  <si>
    <t>5.620 TL</t>
  </si>
  <si>
    <t>7.340 TL</t>
  </si>
  <si>
    <t>+%8,3 onceki ay</t>
  </si>
  <si>
    <t>+%4,1 onceki ay</t>
  </si>
  <si>
    <t>+%18,7 onceki ay</t>
  </si>
  <si>
    <t>Son odeme: 5 gun</t>
  </si>
  <si>
    <t>AYLIK OZET TABLOSU</t>
  </si>
  <si>
    <t>Ay</t>
  </si>
  <si>
    <t>Gelir (TL)</t>
  </si>
  <si>
    <t>Gider (TL)</t>
  </si>
  <si>
    <t>Net Kar (TL)</t>
  </si>
  <si>
    <t>Tasarruf %</t>
  </si>
  <si>
    <t>Durum</t>
  </si>
  <si>
    <t>Notlar</t>
  </si>
  <si>
    <t>Ocak</t>
  </si>
  <si>
    <t>Kar</t>
  </si>
  <si>
    <t>Subat</t>
  </si>
  <si>
    <t>Mart</t>
  </si>
  <si>
    <t>Nisan</t>
  </si>
  <si>
    <t>Bekleniyor</t>
  </si>
  <si>
    <t>Mayis</t>
  </si>
  <si>
    <t>Haziran</t>
  </si>
  <si>
    <t>Temmuz</t>
  </si>
  <si>
    <t>Agustos</t>
  </si>
  <si>
    <t>Eylul</t>
  </si>
  <si>
    <t>Ekim</t>
  </si>
  <si>
    <t>Kasim</t>
  </si>
  <si>
    <t>Aralik</t>
  </si>
  <si>
    <t>TOPLAM</t>
  </si>
  <si>
    <t>GIDER DAGILIMI</t>
  </si>
  <si>
    <t>Kategori</t>
  </si>
  <si>
    <t>Tutar (TL)</t>
  </si>
  <si>
    <t>Oran %</t>
  </si>
  <si>
    <t>Butce (TL)</t>
  </si>
  <si>
    <t>Fark (TL)</t>
  </si>
  <si>
    <t>Market</t>
  </si>
  <si>
    <t>Asilda!</t>
  </si>
  <si>
    <t>Kira</t>
  </si>
  <si>
    <t>Tamam</t>
  </si>
  <si>
    <t>Fatura</t>
  </si>
  <si>
    <t>Ulasim</t>
  </si>
  <si>
    <t>Eglence</t>
  </si>
  <si>
    <t>Giyim</t>
  </si>
  <si>
    <t>Saglik</t>
  </si>
  <si>
    <t>Diger</t>
  </si>
  <si>
    <t>GELIR VE GIDER KAYIT FORMU — MART 2025</t>
  </si>
  <si>
    <t>GELIR KAYITLARI</t>
  </si>
  <si>
    <t>No</t>
  </si>
  <si>
    <t>Tarih</t>
  </si>
  <si>
    <t>Aciklama</t>
  </si>
  <si>
    <t>Periyot</t>
  </si>
  <si>
    <t>Odeme Sekli</t>
  </si>
  <si>
    <t>Banka</t>
  </si>
  <si>
    <t>01.03.2025</t>
  </si>
  <si>
    <t>Aylik Maas</t>
  </si>
  <si>
    <t>Maas</t>
  </si>
  <si>
    <t>Aylik</t>
  </si>
  <si>
    <t>EFT</t>
  </si>
  <si>
    <t>Garanti</t>
  </si>
  <si>
    <t>Alindi</t>
  </si>
  <si>
    <t>05.03.2025</t>
  </si>
  <si>
    <t>Kira Geliri</t>
  </si>
  <si>
    <t>Yapi Kredi</t>
  </si>
  <si>
    <t>Kiraci: A. Kaya</t>
  </si>
  <si>
    <t>12.03.2025</t>
  </si>
  <si>
    <t>Freelance Logo</t>
  </si>
  <si>
    <t>Serbest Meslek</t>
  </si>
  <si>
    <t>Tek Seferlik</t>
  </si>
  <si>
    <t>Havale</t>
  </si>
  <si>
    <t>20.03.2025</t>
  </si>
  <si>
    <t>Danismanlik</t>
  </si>
  <si>
    <t>Akbank</t>
  </si>
  <si>
    <t>Fatura kesildi</t>
  </si>
  <si>
    <t>25.03.2025</t>
  </si>
  <si>
    <t>Faiz Geliri</t>
  </si>
  <si>
    <t>Yatirim</t>
  </si>
  <si>
    <t>Otomatik</t>
  </si>
  <si>
    <t>Mevduat faizi</t>
  </si>
  <si>
    <t>GIDER KAYITLARI</t>
  </si>
  <si>
    <t>Odeme Turu</t>
  </si>
  <si>
    <t>Kart/Banka</t>
  </si>
  <si>
    <t>Taksit</t>
  </si>
  <si>
    <t>Makbuz</t>
  </si>
  <si>
    <t>02.03.2025</t>
  </si>
  <si>
    <t>Nakit</t>
  </si>
  <si>
    <t>-</t>
  </si>
  <si>
    <t>Evet</t>
  </si>
  <si>
    <t>03.03.2025</t>
  </si>
  <si>
    <t>Elektrik-Su-Gaz</t>
  </si>
  <si>
    <t>07.03.2025</t>
  </si>
  <si>
    <t>Migros</t>
  </si>
  <si>
    <t>Kredi Karti</t>
  </si>
  <si>
    <t>Garanti Bonus</t>
  </si>
  <si>
    <t>1</t>
  </si>
  <si>
    <t>Hayir</t>
  </si>
  <si>
    <t>10.03.2025</t>
  </si>
  <si>
    <t>Akaryakit</t>
  </si>
  <si>
    <t>Akbank Axess</t>
  </si>
  <si>
    <t>Var</t>
  </si>
  <si>
    <t>14.03.2025</t>
  </si>
  <si>
    <t>Sinema &amp; Yemek</t>
  </si>
  <si>
    <t>16.03.2025</t>
  </si>
  <si>
    <t>Internet &amp; Tel</t>
  </si>
  <si>
    <t>18.03.2025</t>
  </si>
  <si>
    <t>Giyim Alisveris</t>
  </si>
  <si>
    <t>3</t>
  </si>
  <si>
    <t>Eczane</t>
  </si>
  <si>
    <t>NET KAR / ZARAR</t>
  </si>
  <si>
    <t>KREDI KARTI YONETIM PANELI</t>
  </si>
  <si>
    <t>KART OZET BILGILERI</t>
  </si>
  <si>
    <t>Kart Adi</t>
  </si>
  <si>
    <t>Son 4 Hane</t>
  </si>
  <si>
    <t>Limit (TL)</t>
  </si>
  <si>
    <t>Borc (TL)</t>
  </si>
  <si>
    <t>Kullanim %</t>
  </si>
  <si>
    <t>Son Odeme</t>
  </si>
  <si>
    <t>Min. Odeme</t>
  </si>
  <si>
    <t>Ekstre Tarihi</t>
  </si>
  <si>
    <t>Puan Turu</t>
  </si>
  <si>
    <t>Garanti Bankasi</t>
  </si>
  <si>
    <t>4421</t>
  </si>
  <si>
    <t>24.03.2025</t>
  </si>
  <si>
    <t>01.03</t>
  </si>
  <si>
    <t>Bonus Puan</t>
  </si>
  <si>
    <t>Aktif</t>
  </si>
  <si>
    <t>Yapi Kredi World</t>
  </si>
  <si>
    <t>8832</t>
  </si>
  <si>
    <t>05.03</t>
  </si>
  <si>
    <t>Miles</t>
  </si>
  <si>
    <t>1177</t>
  </si>
  <si>
    <t>22.03.2025</t>
  </si>
  <si>
    <t>09.03</t>
  </si>
  <si>
    <t>Axess Para</t>
  </si>
  <si>
    <t>KART HARCAMALARI DETAYI</t>
  </si>
  <si>
    <t>Kart</t>
  </si>
  <si>
    <t>Aylik (TL)</t>
  </si>
  <si>
    <t>Kalan Taksit</t>
  </si>
  <si>
    <t>Toplam Kalan (TL)</t>
  </si>
  <si>
    <t>Migros Alisveris</t>
  </si>
  <si>
    <t>Shell Akaryakit</t>
  </si>
  <si>
    <t>17.03.2025</t>
  </si>
  <si>
    <t>Trendyol</t>
  </si>
  <si>
    <t>Alisveris</t>
  </si>
  <si>
    <t>3 taksit</t>
  </si>
  <si>
    <t>19.03.2025</t>
  </si>
  <si>
    <t>Teknosa Laptop</t>
  </si>
  <si>
    <t>Elektronik</t>
  </si>
  <si>
    <t>12 ay</t>
  </si>
  <si>
    <t>TAKSIT VE KREDI TAKIP SISTEMI</t>
  </si>
  <si>
    <t>AKTIF TAKSITLER</t>
  </si>
  <si>
    <t>Urun/Hizmet</t>
  </si>
  <si>
    <t>Toplam Tutar (TL)</t>
  </si>
  <si>
    <t>Taksit Sayisi</t>
  </si>
  <si>
    <t>Odenen</t>
  </si>
  <si>
    <t>Bitis Tarihi</t>
  </si>
  <si>
    <t>iPhone 15 Pro</t>
  </si>
  <si>
    <t>Haz.2025</t>
  </si>
  <si>
    <t>Samsung Buzdolabi</t>
  </si>
  <si>
    <t>May.2025</t>
  </si>
  <si>
    <t>Laptop</t>
  </si>
  <si>
    <t>Eyl.2026</t>
  </si>
  <si>
    <t>Ucak Bileti</t>
  </si>
  <si>
    <t>Mobilya (Kapandi)</t>
  </si>
  <si>
    <t>Mar.2025</t>
  </si>
  <si>
    <t>AYLIK TOPLAM TAKSİT</t>
  </si>
  <si>
    <t>BORC TAKIP SISTEMI</t>
  </si>
  <si>
    <t>VERDIGIM BORCLAR</t>
  </si>
  <si>
    <t>Kisi</t>
  </si>
  <si>
    <t>Odenen (TL)</t>
  </si>
  <si>
    <t>Kalan (TL)</t>
  </si>
  <si>
    <t>Odeme Tarihi</t>
  </si>
  <si>
    <t>Hatirlatma</t>
  </si>
  <si>
    <t>Ahmet Kaya</t>
  </si>
  <si>
    <t>Nakit borc</t>
  </si>
  <si>
    <t>10.02.2025</t>
  </si>
  <si>
    <t>15.04.2025</t>
  </si>
  <si>
    <t>Gonderildi</t>
  </si>
  <si>
    <t>Odenmedi</t>
  </si>
  <si>
    <t>Selin Turk</t>
  </si>
  <si>
    <t>Yemek hesabi</t>
  </si>
  <si>
    <t>Odendi</t>
  </si>
  <si>
    <t>Murat Aydin</t>
  </si>
  <si>
    <t>Tatil masrafi</t>
  </si>
  <si>
    <t>01.04.2025</t>
  </si>
  <si>
    <t>Bekliyor</t>
  </si>
  <si>
    <t>Kismi</t>
  </si>
  <si>
    <t>TOPLAM VERILEN</t>
  </si>
  <si>
    <t>ALDIGIM BORCLAR</t>
  </si>
  <si>
    <t>Kisi/Kurum</t>
  </si>
  <si>
    <t>Alinis Tarihi</t>
  </si>
  <si>
    <t>Faiz</t>
  </si>
  <si>
    <t>Ihtiyac Kredisi</t>
  </si>
  <si>
    <t>01.12.2024</t>
  </si>
  <si>
    <t>Kas.2026</t>
  </si>
  <si>
    <t>%3.20</t>
  </si>
  <si>
    <t>Devam ediyor</t>
  </si>
  <si>
    <t>Aile (Anne)</t>
  </si>
  <si>
    <t>Acil borc</t>
  </si>
  <si>
    <t>05.01.2025</t>
  </si>
  <si>
    <t>05.06.2025</t>
  </si>
  <si>
    <t>%0</t>
  </si>
  <si>
    <t>Kismi odendi</t>
  </si>
  <si>
    <t>Arkadastan</t>
  </si>
  <si>
    <t>Tasinma masrafi</t>
  </si>
  <si>
    <t>15.02.2025</t>
  </si>
  <si>
    <t>15.05.2025</t>
  </si>
  <si>
    <t>TOPLAM ALINAN</t>
  </si>
  <si>
    <t>AYLIK BUTCE PLANLAMA SISTEMI — MART 2025</t>
  </si>
  <si>
    <t>TEMEL VARSAYIMLAR</t>
  </si>
  <si>
    <t>Aylik Net Gelir (TL)</t>
  </si>
  <si>
    <t>Butce Donemi</t>
  </si>
  <si>
    <t>Mart 2025</t>
  </si>
  <si>
    <t>Tasarruf Hedefi %</t>
  </si>
  <si>
    <t>25%</t>
  </si>
  <si>
    <t>KATEGORI BAZLI BUTCE vs GERCEK HARCAMA KARSILASTIRMASI</t>
  </si>
  <si>
    <t>Gercek (TL)</t>
  </si>
  <si>
    <t>Oncelik</t>
  </si>
  <si>
    <t>Oneri (TL)</t>
  </si>
  <si>
    <t>Not</t>
  </si>
  <si>
    <t>Dikkat</t>
  </si>
  <si>
    <t>Zorunlu</t>
  </si>
  <si>
    <t>Sabit gider</t>
  </si>
  <si>
    <t>Market &amp; Gida</t>
  </si>
  <si>
    <t>Liste ile alisveris</t>
  </si>
  <si>
    <t>Faturalar</t>
  </si>
  <si>
    <t>Toplu tasima</t>
  </si>
  <si>
    <t>Onemli</t>
  </si>
  <si>
    <t>Istege Bagli</t>
  </si>
  <si>
    <t>Kisiltilabilir</t>
  </si>
  <si>
    <t>ASILDI!</t>
  </si>
  <si>
    <t>BUTCE ASILDI!</t>
  </si>
  <si>
    <t>Egitim</t>
  </si>
  <si>
    <t>Tasarruf</t>
  </si>
  <si>
    <t>Hedef %25</t>
  </si>
  <si>
    <t>TASARRUF HEDEFLERI VE BIRIKIM TAKIBI</t>
  </si>
  <si>
    <t>AKTIF HEDEFLER</t>
  </si>
  <si>
    <t>Hedef Adi</t>
  </si>
  <si>
    <t>Hedef (TL)</t>
  </si>
  <si>
    <t>Mevcut (TL)</t>
  </si>
  <si>
    <t>Ilerleme %</t>
  </si>
  <si>
    <t>Aylik Katki (TL)</t>
  </si>
  <si>
    <t>Kalan Ay</t>
  </si>
  <si>
    <t>Hedef Tarihi</t>
  </si>
  <si>
    <t>Tatil Fonu</t>
  </si>
  <si>
    <t>★★★</t>
  </si>
  <si>
    <t>Seyahat</t>
  </si>
  <si>
    <t>Acil Durum Fonu</t>
  </si>
  <si>
    <t>Ara.2025</t>
  </si>
  <si>
    <t>★★★★★</t>
  </si>
  <si>
    <t>Guvenlik</t>
  </si>
  <si>
    <t>Araba Fonu</t>
  </si>
  <si>
    <t>Haz.2027</t>
  </si>
  <si>
    <t>★★</t>
  </si>
  <si>
    <t>Arac</t>
  </si>
  <si>
    <t>Yatirim Portfoyu</t>
  </si>
  <si>
    <t>Mar.2029</t>
  </si>
  <si>
    <t>★★★★</t>
  </si>
  <si>
    <t>Ev Pesinati</t>
  </si>
  <si>
    <t>2030</t>
  </si>
  <si>
    <t>Gayrimenkul</t>
  </si>
  <si>
    <t>YILLIK FINANSAL RAPOR — 2025</t>
  </si>
  <si>
    <t>AYLIK GELIR-GIDER-KAR OZET TABLOSU</t>
  </si>
  <si>
    <t>Gelir Buyume</t>
  </si>
  <si>
    <t>Gider Buyume</t>
  </si>
  <si>
    <t>Kumulatif Kar (TL)</t>
  </si>
  <si>
    <t>Kart Borcu (TL)</t>
  </si>
  <si>
    <t>Taksit (TL)</t>
  </si>
  <si>
    <t>Boric/Gelir %</t>
  </si>
  <si>
    <t>Birikim (TL)</t>
  </si>
  <si>
    <t>YTD TOPLAM (3 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</si>
</sst>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9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9"/>
      <color rgb="FF2E7D32"/>
      <name val="Arial"/>
      <charset val="1"/>
    </font>
    <font>
      <b/>
      <sz val="9"/>
      <color rgb="FFC62828"/>
      <name val="Arial"/>
      <charset val="1"/>
    </font>
    <font>
      <b/>
      <sz val="9"/>
      <color rgb="FF1565C0"/>
      <name val="Arial"/>
      <charset val="1"/>
    </font>
    <font>
      <b/>
      <sz val="9"/>
      <color rgb="FFE65100"/>
      <name val="Arial"/>
      <charset val="1"/>
    </font>
    <font>
      <b/>
      <sz val="16"/>
      <color rgb="FF2E7D32"/>
      <name val="Arial"/>
      <charset val="1"/>
    </font>
    <font>
      <b/>
      <sz val="16"/>
      <color rgb="FFC62828"/>
      <name val="Arial"/>
      <charset val="1"/>
    </font>
    <font>
      <b/>
      <sz val="16"/>
      <color rgb="FF1565C0"/>
      <name val="Arial"/>
      <charset val="1"/>
    </font>
    <font>
      <b/>
      <sz val="16"/>
      <color rgb="FFE65100"/>
      <name val="Arial"/>
      <charset val="1"/>
    </font>
    <font>
      <sz val="9"/>
      <color rgb="FF2E7D32"/>
      <name val="Arial"/>
      <charset val="1"/>
    </font>
    <font>
      <sz val="9"/>
      <color rgb="FFC62828"/>
      <name val="Arial"/>
      <charset val="1"/>
    </font>
    <font>
      <sz val="9"/>
      <color rgb="FF1565C0"/>
      <name val="Arial"/>
      <charset val="1"/>
    </font>
    <font>
      <sz val="9"/>
      <color rgb="FFE65100"/>
      <name val="Arial"/>
      <charset val="1"/>
    </font>
    <font>
      <b/>
      <sz val="11"/>
      <color rgb="FFFFFFFF"/>
      <name val="Arial"/>
      <charset val="1"/>
    </font>
    <font>
      <b/>
      <sz val="9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B5E20"/>
      <name val="Arial"/>
      <charset val="1"/>
    </font>
    <font>
      <b/>
      <sz val="10"/>
      <color rgb="FFC62828"/>
      <name val="Arial"/>
      <charset val="1"/>
    </font>
    <font>
      <b/>
      <sz val="10"/>
      <color rgb="FF1565C0"/>
      <name val="Arial"/>
      <charset val="1"/>
    </font>
    <font>
      <sz val="10"/>
      <color rgb="FF888888"/>
      <name val="Arial"/>
      <charset val="1"/>
    </font>
    <font>
      <b/>
      <sz val="10"/>
      <color rgb="FFFFFFFF"/>
      <name val="Arial"/>
      <charset val="1"/>
    </font>
    <font>
      <b/>
      <sz val="13"/>
      <color rgb="FFFFFFFF"/>
      <name val="Arial"/>
      <charset val="1"/>
    </font>
    <font>
      <b/>
      <sz val="12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0000FF"/>
      <name val="Arial"/>
      <charset val="1"/>
    </font>
    <font>
      <b/>
      <sz val="10"/>
      <color rgb="FFE65100"/>
      <name val="Arial"/>
      <charset val="1"/>
    </font>
    <font>
      <b/>
      <sz val="11"/>
      <color rgb="FF000000"/>
      <name val="Arial"/>
      <charset val="1"/>
    </font>
    <font>
      <b/>
      <sz val="9"/>
      <color rgb="FF000000"/>
      <name val="Arial"/>
      <charset val="1"/>
    </font>
  </fonts>
  <fills count="18">
    <fill>
      <patternFill patternType="none"/>
    </fill>
    <fill>
      <patternFill patternType="gray125"/>
    </fill>
    <fill>
      <patternFill patternType="solid">
        <fgColor rgb="FF1B5E20"/>
        <bgColor rgb="FF2E7D32"/>
      </patternFill>
    </fill>
    <fill>
      <patternFill patternType="solid">
        <fgColor rgb="FFE8F5E9"/>
        <bgColor rgb="FFECEFF1"/>
      </patternFill>
    </fill>
    <fill>
      <patternFill patternType="solid">
        <fgColor rgb="FFFFCDD2"/>
        <bgColor rgb="FFFFE0B2"/>
      </patternFill>
    </fill>
    <fill>
      <patternFill patternType="solid">
        <fgColor rgb="FFBBDEFB"/>
        <bgColor rgb="FFC8E6C9"/>
      </patternFill>
    </fill>
    <fill>
      <patternFill patternType="solid">
        <fgColor rgb="FFFFE0B2"/>
        <bgColor rgb="FFFFCDD2"/>
      </patternFill>
    </fill>
    <fill>
      <patternFill patternType="solid">
        <fgColor rgb="FF2E7D32"/>
        <bgColor rgb="FF1B5E20"/>
      </patternFill>
    </fill>
    <fill>
      <patternFill patternType="solid">
        <fgColor rgb="FF37474F"/>
        <bgColor rgb="FF1B5E20"/>
      </patternFill>
    </fill>
    <fill>
      <patternFill patternType="solid">
        <fgColor rgb="FFFFFFFF"/>
        <bgColor rgb="FFFFF8F8"/>
      </patternFill>
    </fill>
    <fill>
      <patternFill patternType="solid">
        <fgColor rgb="FFC62828"/>
        <bgColor rgb="FF993366"/>
      </patternFill>
    </fill>
    <fill>
      <patternFill patternType="solid">
        <fgColor rgb="FFECEFF1"/>
        <bgColor rgb="FFE8F5E9"/>
      </patternFill>
    </fill>
    <fill>
      <patternFill patternType="solid">
        <fgColor rgb="FFC8E6C9"/>
        <bgColor rgb="FFBBDEFB"/>
      </patternFill>
    </fill>
    <fill>
      <patternFill patternType="solid">
        <fgColor rgb="FFFFF8F8"/>
        <bgColor rgb="FFFFFFFF"/>
      </patternFill>
    </fill>
    <fill>
      <patternFill patternType="solid">
        <fgColor rgb="FF1565C0"/>
        <bgColor rgb="FF3366FF"/>
      </patternFill>
    </fill>
    <fill>
      <patternFill patternType="solid">
        <fgColor rgb="FFE65100"/>
        <bgColor rgb="FFC62828"/>
      </patternFill>
    </fill>
    <fill>
      <patternFill patternType="solid">
        <fgColor rgb="FFF9A825"/>
        <bgColor rgb="FFFFCC00"/>
      </patternFill>
    </fill>
    <fill>
      <patternFill patternType="solid">
        <fgColor rgb="FFEDE7F6"/>
        <bgColor rgb="FFECEFF1"/>
      </patternFill>
    </fill>
  </fills>
  <borders count="7">
    <border>
      <left/>
      <right/>
      <top/>
      <bottom/>
      <diagonal/>
    </border>
    <border>
      <left style="thin">
        <color rgb="FF2E7D32"/>
      </left>
      <right style="thin">
        <color rgb="FF2E7D32"/>
      </right>
      <top style="thin">
        <color rgb="FF2E7D32"/>
      </top>
      <bottom style="thin">
        <color rgb="FF2E7D32"/>
      </bottom>
      <diagonal/>
    </border>
    <border>
      <left style="thin">
        <color rgb="FFC62828"/>
      </left>
      <right style="thin">
        <color rgb="FFC62828"/>
      </right>
      <top style="thin">
        <color rgb="FFC62828"/>
      </top>
      <bottom style="thin">
        <color rgb="FFC62828"/>
      </bottom>
      <diagonal/>
    </border>
    <border>
      <left style="thin">
        <color rgb="FF1565C0"/>
      </left>
      <right style="thin">
        <color rgb="FF1565C0"/>
      </right>
      <top style="thin">
        <color rgb="FF1565C0"/>
      </top>
      <bottom style="thin">
        <color rgb="FF1565C0"/>
      </bottom>
      <diagonal/>
    </border>
    <border>
      <left style="thin">
        <color rgb="FFE65100"/>
      </left>
      <right style="thin">
        <color rgb="FFE65100"/>
      </right>
      <top style="thin">
        <color rgb="FFE65100"/>
      </top>
      <bottom style="thin">
        <color rgb="FFE651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14" fillId="7" borderId="0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5" fillId="8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left" vertical="center"/>
    </xf>
    <xf numFmtId="3" fontId="17" fillId="3" borderId="5" xfId="0" applyNumberFormat="1" applyFont="1" applyFill="1" applyBorder="1" applyAlignment="1">
      <alignment horizontal="center" vertical="center"/>
    </xf>
    <xf numFmtId="3" fontId="18" fillId="3" borderId="5" xfId="0" applyNumberFormat="1" applyFont="1" applyFill="1" applyBorder="1" applyAlignment="1">
      <alignment horizontal="center" vertical="center"/>
    </xf>
    <xf numFmtId="3" fontId="19" fillId="3" borderId="5" xfId="0" applyNumberFormat="1" applyFont="1" applyFill="1" applyBorder="1" applyAlignment="1">
      <alignment horizontal="center" vertical="center"/>
    </xf>
    <xf numFmtId="164" fontId="0" fillId="3" borderId="5" xfId="0" applyNumberForma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16" fillId="9" borderId="5" xfId="0" applyFont="1" applyFill="1" applyBorder="1" applyAlignment="1">
      <alignment horizontal="left" vertical="center"/>
    </xf>
    <xf numFmtId="3" fontId="17" fillId="9" borderId="5" xfId="0" applyNumberFormat="1" applyFont="1" applyFill="1" applyBorder="1" applyAlignment="1">
      <alignment horizontal="center" vertical="center"/>
    </xf>
    <xf numFmtId="3" fontId="18" fillId="9" borderId="5" xfId="0" applyNumberFormat="1" applyFont="1" applyFill="1" applyBorder="1" applyAlignment="1">
      <alignment horizontal="center" vertical="center"/>
    </xf>
    <xf numFmtId="3" fontId="19" fillId="9" borderId="5" xfId="0" applyNumberFormat="1" applyFont="1" applyFill="1" applyBorder="1" applyAlignment="1">
      <alignment horizontal="center" vertical="center"/>
    </xf>
    <xf numFmtId="164" fontId="0" fillId="9" borderId="5" xfId="0" applyNumberForma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3" borderId="5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3" fontId="21" fillId="2" borderId="5" xfId="0" applyNumberFormat="1" applyFont="1" applyFill="1" applyBorder="1"/>
    <xf numFmtId="164" fontId="21" fillId="2" borderId="5" xfId="0" applyNumberFormat="1" applyFont="1" applyFill="1" applyBorder="1"/>
    <xf numFmtId="0" fontId="0" fillId="2" borderId="5" xfId="0" applyFill="1" applyBorder="1"/>
    <xf numFmtId="0" fontId="16" fillId="11" borderId="5" xfId="0" applyFont="1" applyFill="1" applyBorder="1" applyAlignment="1">
      <alignment horizontal="left" vertical="center"/>
    </xf>
    <xf numFmtId="3" fontId="18" fillId="11" borderId="5" xfId="0" applyNumberFormat="1" applyFont="1" applyFill="1" applyBorder="1" applyAlignment="1">
      <alignment horizontal="center" vertical="center"/>
    </xf>
    <xf numFmtId="164" fontId="0" fillId="11" borderId="5" xfId="0" applyNumberFormat="1" applyFill="1" applyBorder="1" applyAlignment="1">
      <alignment horizontal="center" vertical="center"/>
    </xf>
    <xf numFmtId="3" fontId="0" fillId="11" borderId="5" xfId="0" applyNumberFormat="1" applyFill="1" applyBorder="1" applyAlignment="1">
      <alignment horizontal="center" vertical="center"/>
    </xf>
    <xf numFmtId="0" fontId="18" fillId="4" borderId="5" xfId="0" applyFont="1" applyFill="1" applyBorder="1" applyAlignment="1">
      <alignment horizontal="center" vertical="center"/>
    </xf>
    <xf numFmtId="3" fontId="0" fillId="9" borderId="5" xfId="0" applyNumberForma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5" fillId="7" borderId="5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21" fillId="7" borderId="5" xfId="0" applyFont="1" applyFill="1" applyBorder="1"/>
    <xf numFmtId="0" fontId="0" fillId="7" borderId="5" xfId="0" applyFill="1" applyBorder="1"/>
    <xf numFmtId="3" fontId="23" fillId="7" borderId="5" xfId="0" applyNumberFormat="1" applyFont="1" applyFill="1" applyBorder="1"/>
    <xf numFmtId="0" fontId="15" fillId="10" borderId="5" xfId="0" applyFont="1" applyFill="1" applyBorder="1" applyAlignment="1">
      <alignment horizontal="center" vertical="center" wrapText="1"/>
    </xf>
    <xf numFmtId="0" fontId="16" fillId="13" borderId="5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left" vertical="center"/>
    </xf>
    <xf numFmtId="3" fontId="18" fillId="13" borderId="5" xfId="0" applyNumberFormat="1" applyFont="1" applyFill="1" applyBorder="1" applyAlignment="1">
      <alignment horizontal="center" vertical="center"/>
    </xf>
    <xf numFmtId="0" fontId="21" fillId="10" borderId="5" xfId="0" applyFont="1" applyFill="1" applyBorder="1"/>
    <xf numFmtId="0" fontId="0" fillId="10" borderId="5" xfId="0" applyFill="1" applyBorder="1"/>
    <xf numFmtId="3" fontId="23" fillId="10" borderId="5" xfId="0" applyNumberFormat="1" applyFont="1" applyFill="1" applyBorder="1"/>
    <xf numFmtId="3" fontId="1" fillId="14" borderId="5" xfId="0" applyNumberFormat="1" applyFont="1" applyFill="1" applyBorder="1" applyAlignment="1">
      <alignment horizontal="center" vertical="center"/>
    </xf>
    <xf numFmtId="0" fontId="0" fillId="14" borderId="5" xfId="0" applyFill="1" applyBorder="1"/>
    <xf numFmtId="0" fontId="15" fillId="14" borderId="5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left" vertical="center"/>
    </xf>
    <xf numFmtId="0" fontId="16" fillId="5" borderId="5" xfId="0" applyFont="1" applyFill="1" applyBorder="1" applyAlignment="1">
      <alignment horizontal="center" vertical="center"/>
    </xf>
    <xf numFmtId="3" fontId="16" fillId="5" borderId="5" xfId="0" applyNumberFormat="1" applyFont="1" applyFill="1" applyBorder="1" applyAlignment="1">
      <alignment horizontal="center" vertical="center"/>
    </xf>
    <xf numFmtId="3" fontId="18" fillId="5" borderId="5" xfId="0" applyNumberFormat="1" applyFont="1" applyFill="1" applyBorder="1" applyAlignment="1">
      <alignment horizontal="center" vertical="center"/>
    </xf>
    <xf numFmtId="164" fontId="16" fillId="5" borderId="5" xfId="0" applyNumberFormat="1" applyFont="1" applyFill="1" applyBorder="1" applyAlignment="1">
      <alignment horizontal="center" vertical="center"/>
    </xf>
    <xf numFmtId="3" fontId="16" fillId="9" borderId="5" xfId="0" applyNumberFormat="1" applyFont="1" applyFill="1" applyBorder="1" applyAlignment="1">
      <alignment horizontal="center" vertical="center"/>
    </xf>
    <xf numFmtId="164" fontId="16" fillId="9" borderId="5" xfId="0" applyNumberFormat="1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left" vertical="center"/>
    </xf>
    <xf numFmtId="0" fontId="21" fillId="8" borderId="5" xfId="0" applyFont="1" applyFill="1" applyBorder="1"/>
    <xf numFmtId="3" fontId="21" fillId="8" borderId="5" xfId="0" applyNumberFormat="1" applyFont="1" applyFill="1" applyBorder="1"/>
    <xf numFmtId="164" fontId="21" fillId="8" borderId="5" xfId="0" applyNumberFormat="1" applyFont="1" applyFill="1" applyBorder="1"/>
    <xf numFmtId="0" fontId="15" fillId="15" borderId="5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left" vertical="center"/>
    </xf>
    <xf numFmtId="3" fontId="18" fillId="6" borderId="5" xfId="0" applyNumberFormat="1" applyFont="1" applyFill="1" applyBorder="1" applyAlignment="1">
      <alignment horizontal="center" vertical="center"/>
    </xf>
    <xf numFmtId="3" fontId="16" fillId="6" borderId="5" xfId="0" applyNumberFormat="1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left" vertical="center"/>
    </xf>
    <xf numFmtId="3" fontId="16" fillId="12" borderId="5" xfId="0" applyNumberFormat="1" applyFont="1" applyFill="1" applyBorder="1" applyAlignment="1">
      <alignment horizontal="center" vertical="center"/>
    </xf>
    <xf numFmtId="3" fontId="18" fillId="12" borderId="5" xfId="0" applyNumberFormat="1" applyFont="1" applyFill="1" applyBorder="1" applyAlignment="1">
      <alignment horizontal="center" vertical="center"/>
    </xf>
    <xf numFmtId="3" fontId="19" fillId="5" borderId="5" xfId="0" applyNumberFormat="1" applyFont="1" applyFill="1" applyBorder="1" applyAlignment="1">
      <alignment horizontal="center" vertical="center"/>
    </xf>
    <xf numFmtId="0" fontId="21" fillId="14" borderId="5" xfId="0" applyFont="1" applyFill="1" applyBorder="1"/>
    <xf numFmtId="0" fontId="21" fillId="14" borderId="5" xfId="0" applyFont="1" applyFill="1" applyBorder="1" applyAlignment="1">
      <alignment horizontal="left" vertical="center"/>
    </xf>
    <xf numFmtId="3" fontId="21" fillId="14" borderId="5" xfId="0" applyNumberFormat="1" applyFont="1" applyFill="1" applyBorder="1"/>
    <xf numFmtId="0" fontId="16" fillId="4" borderId="5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left" vertical="center"/>
    </xf>
    <xf numFmtId="3" fontId="18" fillId="4" borderId="5" xfId="0" applyNumberFormat="1" applyFont="1" applyFill="1" applyBorder="1" applyAlignment="1">
      <alignment horizontal="center" vertical="center"/>
    </xf>
    <xf numFmtId="3" fontId="16" fillId="4" borderId="5" xfId="0" applyNumberFormat="1" applyFont="1" applyFill="1" applyBorder="1" applyAlignment="1">
      <alignment horizontal="center" vertical="center"/>
    </xf>
    <xf numFmtId="0" fontId="21" fillId="10" borderId="5" xfId="0" applyFont="1" applyFill="1" applyBorder="1" applyAlignment="1">
      <alignment horizontal="left" vertical="center"/>
    </xf>
    <xf numFmtId="3" fontId="21" fillId="10" borderId="5" xfId="0" applyNumberFormat="1" applyFont="1" applyFill="1" applyBorder="1"/>
    <xf numFmtId="0" fontId="24" fillId="11" borderId="5" xfId="0" applyFont="1" applyFill="1" applyBorder="1" applyAlignment="1">
      <alignment horizontal="left" vertical="center"/>
    </xf>
    <xf numFmtId="3" fontId="25" fillId="9" borderId="5" xfId="0" applyNumberFormat="1" applyFont="1" applyFill="1" applyBorder="1" applyAlignment="1">
      <alignment horizontal="center" vertical="center"/>
    </xf>
    <xf numFmtId="0" fontId="0" fillId="11" borderId="5" xfId="0" applyFill="1" applyBorder="1"/>
    <xf numFmtId="0" fontId="25" fillId="9" borderId="5" xfId="0" applyFont="1" applyFill="1" applyBorder="1" applyAlignment="1">
      <alignment horizontal="center" vertical="center"/>
    </xf>
    <xf numFmtId="3" fontId="25" fillId="3" borderId="5" xfId="0" applyNumberFormat="1" applyFont="1" applyFill="1" applyBorder="1" applyAlignment="1">
      <alignment horizontal="center" vertical="center"/>
    </xf>
    <xf numFmtId="3" fontId="24" fillId="3" borderId="5" xfId="0" applyNumberFormat="1" applyFont="1" applyFill="1" applyBorder="1" applyAlignment="1">
      <alignment horizontal="center" vertical="center"/>
    </xf>
    <xf numFmtId="3" fontId="0" fillId="3" borderId="5" xfId="0" applyNumberFormat="1" applyFill="1" applyBorder="1" applyAlignment="1">
      <alignment horizontal="center" vertical="center"/>
    </xf>
    <xf numFmtId="0" fontId="26" fillId="6" borderId="5" xfId="0" applyFont="1" applyFill="1" applyBorder="1" applyAlignment="1">
      <alignment horizontal="center" vertical="center"/>
    </xf>
    <xf numFmtId="3" fontId="16" fillId="3" borderId="5" xfId="0" applyNumberFormat="1" applyFont="1" applyFill="1" applyBorder="1" applyAlignment="1">
      <alignment horizontal="center" vertical="center"/>
    </xf>
    <xf numFmtId="3" fontId="24" fillId="9" borderId="5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left" vertical="center"/>
    </xf>
    <xf numFmtId="0" fontId="21" fillId="2" borderId="5" xfId="0" applyFont="1" applyFill="1" applyBorder="1"/>
    <xf numFmtId="0" fontId="28" fillId="16" borderId="5" xfId="0" applyFont="1" applyFill="1" applyBorder="1" applyAlignment="1">
      <alignment horizontal="center" vertical="center" wrapText="1"/>
    </xf>
    <xf numFmtId="164" fontId="17" fillId="12" borderId="5" xfId="0" applyNumberFormat="1" applyFont="1" applyFill="1" applyBorder="1" applyAlignment="1">
      <alignment horizontal="center" vertical="center"/>
    </xf>
    <xf numFmtId="1" fontId="16" fillId="12" borderId="5" xfId="0" applyNumberFormat="1" applyFont="1" applyFill="1" applyBorder="1" applyAlignment="1">
      <alignment horizontal="center" vertical="center"/>
    </xf>
    <xf numFmtId="164" fontId="17" fillId="5" borderId="5" xfId="0" applyNumberFormat="1" applyFont="1" applyFill="1" applyBorder="1" applyAlignment="1">
      <alignment horizontal="center" vertical="center"/>
    </xf>
    <xf numFmtId="1" fontId="16" fillId="5" borderId="5" xfId="0" applyNumberFormat="1" applyFont="1" applyFill="1" applyBorder="1" applyAlignment="1">
      <alignment horizontal="center" vertical="center"/>
    </xf>
    <xf numFmtId="164" fontId="17" fillId="6" borderId="5" xfId="0" applyNumberFormat="1" applyFont="1" applyFill="1" applyBorder="1" applyAlignment="1">
      <alignment horizontal="center" vertical="center"/>
    </xf>
    <xf numFmtId="1" fontId="16" fillId="6" borderId="5" xfId="0" applyNumberFormat="1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3" fontId="16" fillId="17" borderId="5" xfId="0" applyNumberFormat="1" applyFont="1" applyFill="1" applyBorder="1" applyAlignment="1">
      <alignment horizontal="center" vertical="center"/>
    </xf>
    <xf numFmtId="164" fontId="17" fillId="17" borderId="5" xfId="0" applyNumberFormat="1" applyFont="1" applyFill="1" applyBorder="1" applyAlignment="1">
      <alignment horizontal="center" vertical="center"/>
    </xf>
    <xf numFmtId="1" fontId="16" fillId="17" borderId="5" xfId="0" applyNumberFormat="1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center" vertical="center"/>
    </xf>
    <xf numFmtId="164" fontId="17" fillId="4" borderId="5" xfId="0" applyNumberFormat="1" applyFont="1" applyFill="1" applyBorder="1" applyAlignment="1">
      <alignment horizontal="center" vertical="center"/>
    </xf>
    <xf numFmtId="1" fontId="16" fillId="4" borderId="5" xfId="0" applyNumberFormat="1" applyFont="1" applyFill="1" applyBorder="1" applyAlignment="1">
      <alignment horizontal="center" vertical="center"/>
    </xf>
    <xf numFmtId="3" fontId="17" fillId="5" borderId="5" xfId="0" applyNumberFormat="1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3" fontId="0" fillId="5" borderId="5" xfId="0" applyNumberFormat="1" applyFill="1" applyBorder="1" applyAlignment="1">
      <alignment horizontal="center" vertical="center"/>
    </xf>
    <xf numFmtId="3" fontId="21" fillId="2" borderId="5" xfId="0" applyNumberFormat="1" applyFont="1" applyFill="1" applyBorder="1" applyAlignment="1">
      <alignment horizontal="center" vertical="center"/>
    </xf>
    <xf numFmtId="164" fontId="21" fillId="2" borderId="5" xfId="0" applyNumberFormat="1" applyFont="1" applyFill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/>
    </xf>
    <xf numFmtId="0" fontId="14" fillId="10" borderId="0" xfId="0" applyFont="1" applyFill="1" applyBorder="1" applyAlignment="1">
      <alignment horizontal="center" vertical="center"/>
    </xf>
    <xf numFmtId="0" fontId="22" fillId="2" borderId="0" xfId="0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 vertical="center"/>
    </xf>
    <xf numFmtId="0" fontId="14" fillId="14" borderId="0" xfId="0" applyFont="1" applyFill="1" applyBorder="1" applyAlignment="1">
      <alignment horizontal="center" vertical="center"/>
    </xf>
    <xf numFmtId="0" fontId="14" fillId="15" borderId="0" xfId="0" applyFont="1" applyFill="1" applyBorder="1" applyAlignment="1">
      <alignment horizontal="center" vertical="center"/>
    </xf>
    <xf numFmtId="0" fontId="21" fillId="8" borderId="0" xfId="0" applyFont="1" applyFill="1" applyBorder="1" applyAlignment="1">
      <alignment horizontal="center" vertical="center"/>
    </xf>
    <xf numFmtId="0" fontId="27" fillId="16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0BEC5"/>
      <rgbColor rgb="FF888888"/>
      <rgbColor rgb="FF9999FF"/>
      <rgbColor rgb="FF993366"/>
      <rgbColor rgb="FFFFF8F8"/>
      <rgbColor rgb="FFE8F5E9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EDE7F6"/>
      <rgbColor rgb="FF99CCFF"/>
      <rgbColor rgb="FFFFCDD2"/>
      <rgbColor rgb="FFCC99FF"/>
      <rgbColor rgb="FFFFE0B2"/>
      <rgbColor rgb="FF3366FF"/>
      <rgbColor rgb="FF33CCCC"/>
      <rgbColor rgb="FF99CC00"/>
      <rgbColor rgb="FFFFCC00"/>
      <rgbColor rgb="FFF9A825"/>
      <rgbColor rgb="FFE65100"/>
      <rgbColor rgb="FF666699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showGridLines="0" tabSelected="1" zoomScaleNormal="100" workbookViewId="0" xr3:uid="{AEA406A1-0E4B-5B11-9CD5-51D6E497D94C}"/>
  </sheetViews>
  <sheetFormatPr defaultColWidth="8.7421875" defaultRowHeight="15" x14ac:dyDescent="0.2"/>
  <cols>
    <col min="1" max="1" width="11.02734375" customWidth="1"/>
    <col min="2" max="4" width="13.98828125" customWidth="1"/>
    <col min="5" max="6" width="11.97265625" customWidth="1"/>
    <col min="7" max="7" width="18.0234375" customWidth="1"/>
    <col min="8" max="8" width="2.015625" customWidth="1"/>
    <col min="9" max="10" width="13.98828125" customWidth="1"/>
    <col min="11" max="11" width="9.953125" customWidth="1"/>
    <col min="12" max="12" width="13.98828125" customWidth="1"/>
    <col min="13" max="14" width="11.97265625" customWidth="1"/>
  </cols>
  <sheetData>
    <row r="1" spans="1:14" ht="37.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7.5" customHeight="1" x14ac:dyDescent="0.2"/>
    <row r="3" spans="1:14" ht="19.5" customHeight="1" x14ac:dyDescent="0.2">
      <c r="A3" s="13" t="s">
        <v>1</v>
      </c>
      <c r="B3" s="13"/>
      <c r="C3" s="13"/>
      <c r="E3" s="12" t="s">
        <v>2</v>
      </c>
      <c r="F3" s="12"/>
      <c r="G3" s="12"/>
      <c r="I3" s="11" t="s">
        <v>3</v>
      </c>
      <c r="J3" s="11"/>
      <c r="K3" s="11"/>
      <c r="M3" s="10" t="s">
        <v>4</v>
      </c>
      <c r="N3" s="10"/>
    </row>
    <row r="4" spans="1:14" ht="19.5" customHeight="1" x14ac:dyDescent="0.2">
      <c r="A4" s="9" t="s">
        <v>5</v>
      </c>
      <c r="B4" s="9"/>
      <c r="C4" s="9"/>
      <c r="E4" s="8" t="s">
        <v>6</v>
      </c>
      <c r="F4" s="8"/>
      <c r="G4" s="8"/>
      <c r="I4" s="7" t="s">
        <v>7</v>
      </c>
      <c r="J4" s="7"/>
      <c r="K4" s="7"/>
      <c r="M4" s="6" t="s">
        <v>8</v>
      </c>
      <c r="N4" s="6"/>
    </row>
    <row r="5" spans="1:14" ht="19.5" customHeight="1" x14ac:dyDescent="0.2">
      <c r="A5" s="9"/>
      <c r="B5" s="9"/>
      <c r="C5" s="9"/>
      <c r="E5" s="8"/>
      <c r="F5" s="8"/>
      <c r="G5" s="8"/>
      <c r="I5" s="7"/>
      <c r="J5" s="7"/>
      <c r="K5" s="7"/>
      <c r="M5" s="6"/>
      <c r="N5" s="6"/>
    </row>
    <row r="6" spans="1:14" ht="19.5" customHeight="1" x14ac:dyDescent="0.2">
      <c r="A6" s="5" t="s">
        <v>9</v>
      </c>
      <c r="B6" s="5"/>
      <c r="C6" s="5"/>
      <c r="E6" s="4" t="s">
        <v>10</v>
      </c>
      <c r="F6" s="4"/>
      <c r="G6" s="4"/>
      <c r="I6" s="3" t="s">
        <v>11</v>
      </c>
      <c r="J6" s="3"/>
      <c r="K6" s="3"/>
      <c r="M6" s="2" t="s">
        <v>12</v>
      </c>
      <c r="N6" s="2"/>
    </row>
    <row r="7" spans="1:14" ht="12" customHeight="1" x14ac:dyDescent="0.2"/>
    <row r="8" spans="1:14" ht="24" customHeight="1" x14ac:dyDescent="0.2">
      <c r="A8" s="1" t="s">
        <v>13</v>
      </c>
      <c r="B8" s="1"/>
      <c r="C8" s="1"/>
      <c r="D8" s="1"/>
      <c r="E8" s="1"/>
      <c r="F8" s="1"/>
      <c r="G8" s="1"/>
    </row>
    <row r="9" spans="1:14" ht="21.75" customHeight="1" x14ac:dyDescent="0.2">
      <c r="A9" s="15" t="s">
        <v>14</v>
      </c>
      <c r="B9" s="15" t="s">
        <v>15</v>
      </c>
      <c r="C9" s="15" t="s">
        <v>16</v>
      </c>
      <c r="D9" s="15" t="s">
        <v>17</v>
      </c>
      <c r="E9" s="15" t="s">
        <v>18</v>
      </c>
      <c r="F9" s="15" t="s">
        <v>19</v>
      </c>
      <c r="G9" s="15" t="s">
        <v>20</v>
      </c>
    </row>
    <row r="10" spans="1:14" ht="18" customHeight="1" x14ac:dyDescent="0.2">
      <c r="A10" s="16" t="s">
        <v>21</v>
      </c>
      <c r="B10" s="17">
        <v>16200</v>
      </c>
      <c r="C10" s="18">
        <v>13100</v>
      </c>
      <c r="D10" s="19">
        <f>B10-C10</f>
        <v>3100</v>
      </c>
      <c r="E10" s="20">
        <f>D10/B10</f>
        <v>0.19135802469135801</v>
      </c>
      <c r="F10" s="21" t="s">
        <v>22</v>
      </c>
      <c r="G10" s="22"/>
    </row>
    <row r="11" spans="1:14" ht="18" customHeight="1" x14ac:dyDescent="0.2">
      <c r="A11" s="23" t="s">
        <v>23</v>
      </c>
      <c r="B11" s="24">
        <v>17050</v>
      </c>
      <c r="C11" s="25">
        <v>14200</v>
      </c>
      <c r="D11" s="26">
        <f>B11-C11</f>
        <v>2850</v>
      </c>
      <c r="E11" s="27">
        <f>D11/B11</f>
        <v>0.16715542521994134</v>
      </c>
      <c r="F11" s="28" t="s">
        <v>22</v>
      </c>
      <c r="G11" s="29"/>
    </row>
    <row r="12" spans="1:14" ht="18" customHeight="1" x14ac:dyDescent="0.2">
      <c r="A12" s="16" t="s">
        <v>24</v>
      </c>
      <c r="B12" s="17">
        <v>18450</v>
      </c>
      <c r="C12" s="18">
        <v>12830</v>
      </c>
      <c r="D12" s="19">
        <f>B12-C12</f>
        <v>5620</v>
      </c>
      <c r="E12" s="20">
        <f>D12/B12</f>
        <v>0.30460704607046069</v>
      </c>
      <c r="F12" s="21" t="s">
        <v>22</v>
      </c>
      <c r="G12" s="22"/>
    </row>
    <row r="13" spans="1:14" ht="18" customHeight="1" x14ac:dyDescent="0.2">
      <c r="A13" s="23" t="s">
        <v>25</v>
      </c>
      <c r="B13" s="29"/>
      <c r="C13" s="29"/>
      <c r="D13" s="29"/>
      <c r="E13" s="29"/>
      <c r="F13" s="30" t="s">
        <v>26</v>
      </c>
      <c r="G13" s="29"/>
    </row>
    <row r="14" spans="1:14" ht="18" customHeight="1" x14ac:dyDescent="0.2">
      <c r="A14" s="16" t="s">
        <v>27</v>
      </c>
      <c r="B14" s="22"/>
      <c r="C14" s="22"/>
      <c r="D14" s="22"/>
      <c r="E14" s="22"/>
      <c r="F14" s="31" t="s">
        <v>26</v>
      </c>
      <c r="G14" s="22"/>
    </row>
    <row r="15" spans="1:14" ht="18" customHeight="1" x14ac:dyDescent="0.2">
      <c r="A15" s="23" t="s">
        <v>28</v>
      </c>
      <c r="B15" s="29"/>
      <c r="C15" s="29"/>
      <c r="D15" s="29"/>
      <c r="E15" s="29"/>
      <c r="F15" s="30" t="s">
        <v>26</v>
      </c>
      <c r="G15" s="29"/>
    </row>
    <row r="16" spans="1:14" ht="18" customHeight="1" x14ac:dyDescent="0.2">
      <c r="A16" s="16" t="s">
        <v>29</v>
      </c>
      <c r="B16" s="22"/>
      <c r="C16" s="22"/>
      <c r="D16" s="22"/>
      <c r="E16" s="22"/>
      <c r="F16" s="31" t="s">
        <v>26</v>
      </c>
      <c r="G16" s="22"/>
    </row>
    <row r="17" spans="1:14" ht="18" customHeight="1" x14ac:dyDescent="0.2">
      <c r="A17" s="23" t="s">
        <v>30</v>
      </c>
      <c r="B17" s="29"/>
      <c r="C17" s="29"/>
      <c r="D17" s="29"/>
      <c r="E17" s="29"/>
      <c r="F17" s="30" t="s">
        <v>26</v>
      </c>
      <c r="G17" s="29"/>
    </row>
    <row r="18" spans="1:14" ht="18" customHeight="1" x14ac:dyDescent="0.2">
      <c r="A18" s="16" t="s">
        <v>31</v>
      </c>
      <c r="B18" s="22"/>
      <c r="C18" s="22"/>
      <c r="D18" s="22"/>
      <c r="E18" s="22"/>
      <c r="F18" s="31" t="s">
        <v>26</v>
      </c>
      <c r="G18" s="22"/>
    </row>
    <row r="19" spans="1:14" ht="18" customHeight="1" x14ac:dyDescent="0.2">
      <c r="A19" s="23" t="s">
        <v>32</v>
      </c>
      <c r="B19" s="29"/>
      <c r="C19" s="29"/>
      <c r="D19" s="29"/>
      <c r="E19" s="29"/>
      <c r="F19" s="30" t="s">
        <v>26</v>
      </c>
      <c r="G19" s="29"/>
    </row>
    <row r="20" spans="1:14" ht="18" customHeight="1" x14ac:dyDescent="0.2">
      <c r="A20" s="16" t="s">
        <v>33</v>
      </c>
      <c r="B20" s="22"/>
      <c r="C20" s="22"/>
      <c r="D20" s="22"/>
      <c r="E20" s="22"/>
      <c r="F20" s="31" t="s">
        <v>26</v>
      </c>
      <c r="G20" s="22"/>
    </row>
    <row r="21" spans="1:14" ht="18" customHeight="1" x14ac:dyDescent="0.2">
      <c r="A21" s="23" t="s">
        <v>34</v>
      </c>
      <c r="B21" s="29"/>
      <c r="C21" s="29"/>
      <c r="D21" s="29"/>
      <c r="E21" s="29"/>
      <c r="F21" s="30" t="s">
        <v>26</v>
      </c>
      <c r="G21" s="29"/>
    </row>
    <row r="22" spans="1:14" ht="19.5" customHeight="1" x14ac:dyDescent="0.2">
      <c r="A22" s="32" t="s">
        <v>35</v>
      </c>
      <c r="B22" s="33">
        <f>SUM(B10:B21)</f>
        <v>51700</v>
      </c>
      <c r="C22" s="33">
        <f>SUM(C10:C21)</f>
        <v>40130</v>
      </c>
      <c r="D22" s="33">
        <f>B22-C22</f>
        <v>11570</v>
      </c>
      <c r="E22" s="34">
        <f>D22/B22</f>
        <v>0.22379110251450676</v>
      </c>
      <c r="F22" s="35"/>
      <c r="G22" s="35"/>
    </row>
    <row r="23" spans="1:14" ht="12" customHeight="1" x14ac:dyDescent="0.2"/>
    <row r="24" spans="1:14" ht="24" customHeight="1" x14ac:dyDescent="0.2">
      <c r="I24" s="122" t="s">
        <v>36</v>
      </c>
      <c r="J24" s="122"/>
      <c r="K24" s="122"/>
      <c r="L24" s="122"/>
      <c r="M24" s="122"/>
      <c r="N24" s="122"/>
    </row>
    <row r="25" spans="1:14" ht="21.75" customHeight="1" x14ac:dyDescent="0.2">
      <c r="I25" s="15" t="s">
        <v>37</v>
      </c>
      <c r="J25" s="15" t="s">
        <v>38</v>
      </c>
      <c r="K25" s="15" t="s">
        <v>39</v>
      </c>
      <c r="L25" s="15" t="s">
        <v>40</v>
      </c>
      <c r="M25" s="15" t="s">
        <v>41</v>
      </c>
      <c r="N25" s="15" t="s">
        <v>19</v>
      </c>
    </row>
    <row r="26" spans="1:14" ht="18" customHeight="1" x14ac:dyDescent="0.2">
      <c r="I26" s="36" t="s">
        <v>42</v>
      </c>
      <c r="J26" s="37">
        <v>4363</v>
      </c>
      <c r="K26" s="38">
        <v>0.26224679930275901</v>
      </c>
      <c r="L26" s="39">
        <v>2000</v>
      </c>
      <c r="M26" s="39">
        <v>2363</v>
      </c>
      <c r="N26" s="40" t="s">
        <v>43</v>
      </c>
    </row>
    <row r="27" spans="1:14" ht="18" customHeight="1" x14ac:dyDescent="0.2">
      <c r="I27" s="23" t="s">
        <v>44</v>
      </c>
      <c r="J27" s="25">
        <v>3200</v>
      </c>
      <c r="K27" s="27">
        <v>0.192342369417563</v>
      </c>
      <c r="L27" s="41">
        <v>3200</v>
      </c>
      <c r="M27" s="41">
        <v>0</v>
      </c>
      <c r="N27" s="42" t="s">
        <v>45</v>
      </c>
    </row>
    <row r="28" spans="1:14" ht="18" customHeight="1" x14ac:dyDescent="0.2">
      <c r="I28" s="36" t="s">
        <v>46</v>
      </c>
      <c r="J28" s="37">
        <v>2823</v>
      </c>
      <c r="K28" s="38">
        <v>0.16968203402055701</v>
      </c>
      <c r="L28" s="39">
        <v>2800</v>
      </c>
      <c r="M28" s="39">
        <v>23</v>
      </c>
      <c r="N28" s="40" t="s">
        <v>43</v>
      </c>
    </row>
    <row r="29" spans="1:14" ht="18" customHeight="1" x14ac:dyDescent="0.2">
      <c r="I29" s="23" t="s">
        <v>47</v>
      </c>
      <c r="J29" s="25">
        <v>1796</v>
      </c>
      <c r="K29" s="27">
        <v>0.10795215483560699</v>
      </c>
      <c r="L29" s="41">
        <v>2000</v>
      </c>
      <c r="M29" s="41">
        <v>-204</v>
      </c>
      <c r="N29" s="42" t="s">
        <v>45</v>
      </c>
    </row>
    <row r="30" spans="1:14" ht="18" customHeight="1" x14ac:dyDescent="0.2">
      <c r="I30" s="36" t="s">
        <v>48</v>
      </c>
      <c r="J30" s="37">
        <v>1414</v>
      </c>
      <c r="K30" s="38">
        <v>8.4991284486385807E-2</v>
      </c>
      <c r="L30" s="39">
        <v>1500</v>
      </c>
      <c r="M30" s="39">
        <v>-86</v>
      </c>
      <c r="N30" s="42" t="s">
        <v>45</v>
      </c>
    </row>
    <row r="31" spans="1:14" ht="18" customHeight="1" x14ac:dyDescent="0.2">
      <c r="I31" s="23" t="s">
        <v>49</v>
      </c>
      <c r="J31" s="25">
        <v>1219</v>
      </c>
      <c r="K31" s="27">
        <v>7.3270421350003001E-2</v>
      </c>
      <c r="L31" s="41">
        <v>1200</v>
      </c>
      <c r="M31" s="41">
        <v>19</v>
      </c>
      <c r="N31" s="40" t="s">
        <v>43</v>
      </c>
    </row>
    <row r="32" spans="1:14" ht="18" customHeight="1" x14ac:dyDescent="0.2">
      <c r="I32" s="36" t="s">
        <v>50</v>
      </c>
      <c r="J32" s="37">
        <v>539</v>
      </c>
      <c r="K32" s="38">
        <v>3.2397667848770802E-2</v>
      </c>
      <c r="L32" s="39">
        <v>600</v>
      </c>
      <c r="M32" s="39">
        <v>-61</v>
      </c>
      <c r="N32" s="42" t="s">
        <v>45</v>
      </c>
    </row>
    <row r="33" spans="9:14" ht="18" customHeight="1" x14ac:dyDescent="0.2">
      <c r="I33" s="23" t="s">
        <v>51</v>
      </c>
      <c r="J33" s="25">
        <v>1283</v>
      </c>
      <c r="K33" s="27">
        <v>7.7117268738354297E-2</v>
      </c>
      <c r="L33" s="41">
        <v>1200</v>
      </c>
      <c r="M33" s="41">
        <v>83</v>
      </c>
      <c r="N33" s="40" t="s">
        <v>43</v>
      </c>
    </row>
  </sheetData>
  <mergeCells count="15">
    <mergeCell ref="A8:G8"/>
    <mergeCell ref="I24:N24"/>
    <mergeCell ref="A4:C5"/>
    <mergeCell ref="E4:G5"/>
    <mergeCell ref="I4:K5"/>
    <mergeCell ref="M4:N5"/>
    <mergeCell ref="A6:C6"/>
    <mergeCell ref="E6:G6"/>
    <mergeCell ref="I6:K6"/>
    <mergeCell ref="M6:N6"/>
    <mergeCell ref="A1:N1"/>
    <mergeCell ref="A3:C3"/>
    <mergeCell ref="E3:G3"/>
    <mergeCell ref="I3:K3"/>
    <mergeCell ref="M3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showGridLines="0" zoomScaleNormal="100" workbookViewId="0" xr3:uid="{958C4451-9541-5A59-BF78-D2F731DF1C81}"/>
  </sheetViews>
  <sheetFormatPr defaultColWidth="8.7421875" defaultRowHeight="15" x14ac:dyDescent="0.2"/>
  <cols>
    <col min="1" max="1" width="4.9765625" customWidth="1"/>
    <col min="2" max="2" width="13.046875" customWidth="1"/>
    <col min="3" max="3" width="25.9609375" customWidth="1"/>
    <col min="4" max="4" width="18.0234375" customWidth="1"/>
    <col min="5" max="5" width="13.98828125" customWidth="1"/>
    <col min="6" max="7" width="18.0234375" customWidth="1"/>
    <col min="8" max="9" width="11.97265625" customWidth="1"/>
    <col min="10" max="10" width="22.05859375" customWidth="1"/>
  </cols>
  <sheetData>
    <row r="1" spans="1:10" ht="36" customHeight="1" x14ac:dyDescent="0.2">
      <c r="A1" s="123" t="s">
        <v>52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9.75" customHeight="1" x14ac:dyDescent="0.2"/>
    <row r="3" spans="1:10" ht="24" customHeight="1" x14ac:dyDescent="0.2">
      <c r="A3" s="1" t="s">
        <v>53</v>
      </c>
      <c r="B3" s="1"/>
      <c r="C3" s="1"/>
      <c r="D3" s="1"/>
      <c r="E3" s="1"/>
      <c r="F3" s="1"/>
      <c r="G3" s="1"/>
      <c r="H3" s="1"/>
      <c r="I3" s="1"/>
      <c r="J3" s="1"/>
    </row>
    <row r="4" spans="1:10" ht="21.75" customHeight="1" x14ac:dyDescent="0.2">
      <c r="A4" s="43" t="s">
        <v>54</v>
      </c>
      <c r="B4" s="43" t="s">
        <v>55</v>
      </c>
      <c r="C4" s="43" t="s">
        <v>56</v>
      </c>
      <c r="D4" s="43" t="s">
        <v>37</v>
      </c>
      <c r="E4" s="43" t="s">
        <v>38</v>
      </c>
      <c r="F4" s="43" t="s">
        <v>57</v>
      </c>
      <c r="G4" s="43" t="s">
        <v>58</v>
      </c>
      <c r="H4" s="43" t="s">
        <v>59</v>
      </c>
      <c r="I4" s="43" t="s">
        <v>19</v>
      </c>
      <c r="J4" s="43" t="s">
        <v>20</v>
      </c>
    </row>
    <row r="5" spans="1:10" ht="19.5" customHeight="1" x14ac:dyDescent="0.2">
      <c r="A5" s="44">
        <v>1</v>
      </c>
      <c r="B5" s="16" t="s">
        <v>60</v>
      </c>
      <c r="C5" s="16" t="s">
        <v>61</v>
      </c>
      <c r="D5" s="16" t="s">
        <v>62</v>
      </c>
      <c r="E5" s="17">
        <v>15000</v>
      </c>
      <c r="F5" s="44" t="s">
        <v>63</v>
      </c>
      <c r="G5" s="16" t="s">
        <v>64</v>
      </c>
      <c r="H5" s="16" t="s">
        <v>65</v>
      </c>
      <c r="I5" s="44" t="s">
        <v>66</v>
      </c>
      <c r="J5" s="16"/>
    </row>
    <row r="6" spans="1:10" ht="19.5" customHeight="1" x14ac:dyDescent="0.2">
      <c r="A6" s="45">
        <v>2</v>
      </c>
      <c r="B6" s="23" t="s">
        <v>67</v>
      </c>
      <c r="C6" s="23" t="s">
        <v>68</v>
      </c>
      <c r="D6" s="23" t="s">
        <v>68</v>
      </c>
      <c r="E6" s="24">
        <v>2000</v>
      </c>
      <c r="F6" s="45" t="s">
        <v>63</v>
      </c>
      <c r="G6" s="23" t="s">
        <v>64</v>
      </c>
      <c r="H6" s="23" t="s">
        <v>69</v>
      </c>
      <c r="I6" s="45" t="s">
        <v>66</v>
      </c>
      <c r="J6" s="23" t="s">
        <v>70</v>
      </c>
    </row>
    <row r="7" spans="1:10" ht="19.5" customHeight="1" x14ac:dyDescent="0.2">
      <c r="A7" s="44">
        <v>3</v>
      </c>
      <c r="B7" s="16" t="s">
        <v>71</v>
      </c>
      <c r="C7" s="16" t="s">
        <v>72</v>
      </c>
      <c r="D7" s="16" t="s">
        <v>73</v>
      </c>
      <c r="E7" s="17">
        <v>1450</v>
      </c>
      <c r="F7" s="44" t="s">
        <v>74</v>
      </c>
      <c r="G7" s="16" t="s">
        <v>75</v>
      </c>
      <c r="H7" s="16" t="s">
        <v>65</v>
      </c>
      <c r="I7" s="44" t="s">
        <v>66</v>
      </c>
      <c r="J7" s="16"/>
    </row>
    <row r="8" spans="1:10" ht="19.5" customHeight="1" x14ac:dyDescent="0.2">
      <c r="A8" s="45">
        <v>4</v>
      </c>
      <c r="B8" s="23" t="s">
        <v>76</v>
      </c>
      <c r="C8" s="23" t="s">
        <v>77</v>
      </c>
      <c r="D8" s="23" t="s">
        <v>73</v>
      </c>
      <c r="E8" s="24">
        <v>2500</v>
      </c>
      <c r="F8" s="45" t="s">
        <v>74</v>
      </c>
      <c r="G8" s="23" t="s">
        <v>64</v>
      </c>
      <c r="H8" s="23" t="s">
        <v>78</v>
      </c>
      <c r="I8" s="45" t="s">
        <v>26</v>
      </c>
      <c r="J8" s="23" t="s">
        <v>79</v>
      </c>
    </row>
    <row r="9" spans="1:10" ht="19.5" customHeight="1" x14ac:dyDescent="0.2">
      <c r="A9" s="44">
        <v>5</v>
      </c>
      <c r="B9" s="16" t="s">
        <v>80</v>
      </c>
      <c r="C9" s="16" t="s">
        <v>81</v>
      </c>
      <c r="D9" s="16" t="s">
        <v>82</v>
      </c>
      <c r="E9" s="17">
        <v>320</v>
      </c>
      <c r="F9" s="44" t="s">
        <v>63</v>
      </c>
      <c r="G9" s="16" t="s">
        <v>83</v>
      </c>
      <c r="H9" s="16" t="s">
        <v>65</v>
      </c>
      <c r="I9" s="44" t="s">
        <v>66</v>
      </c>
      <c r="J9" s="16" t="s">
        <v>84</v>
      </c>
    </row>
    <row r="10" spans="1:10" ht="19.5" customHeight="1" x14ac:dyDescent="0.2">
      <c r="A10" s="45">
        <v>6</v>
      </c>
      <c r="B10" s="23"/>
      <c r="C10" s="23"/>
      <c r="D10" s="23"/>
      <c r="E10" s="45"/>
      <c r="F10" s="45"/>
      <c r="G10" s="23"/>
      <c r="H10" s="23"/>
      <c r="I10" s="45"/>
      <c r="J10" s="23"/>
    </row>
    <row r="11" spans="1:10" ht="19.5" customHeight="1" x14ac:dyDescent="0.2">
      <c r="A11" s="44">
        <v>7</v>
      </c>
      <c r="B11" s="16"/>
      <c r="C11" s="16"/>
      <c r="D11" s="16"/>
      <c r="E11" s="44"/>
      <c r="F11" s="44"/>
      <c r="G11" s="16"/>
      <c r="H11" s="16"/>
      <c r="I11" s="44"/>
      <c r="J11" s="16"/>
    </row>
    <row r="12" spans="1:10" ht="24" customHeight="1" x14ac:dyDescent="0.2">
      <c r="C12" s="46" t="s">
        <v>1</v>
      </c>
      <c r="D12" s="47"/>
      <c r="E12" s="48">
        <f>SUM(E5:E11)</f>
        <v>21270</v>
      </c>
      <c r="F12" s="47"/>
      <c r="G12" s="47"/>
      <c r="H12" s="47"/>
      <c r="I12" s="47"/>
      <c r="J12" s="47"/>
    </row>
    <row r="13" spans="1:10" ht="9.75" customHeight="1" x14ac:dyDescent="0.2"/>
    <row r="14" spans="1:10" ht="24" customHeight="1" x14ac:dyDescent="0.2">
      <c r="A14" s="122" t="s">
        <v>85</v>
      </c>
      <c r="B14" s="122"/>
      <c r="C14" s="122"/>
      <c r="D14" s="122"/>
      <c r="E14" s="122"/>
      <c r="F14" s="122"/>
      <c r="G14" s="122"/>
      <c r="H14" s="122"/>
      <c r="I14" s="122"/>
      <c r="J14" s="122"/>
    </row>
    <row r="15" spans="1:10" ht="21.75" customHeight="1" x14ac:dyDescent="0.2">
      <c r="A15" s="49" t="s">
        <v>54</v>
      </c>
      <c r="B15" s="49" t="s">
        <v>55</v>
      </c>
      <c r="C15" s="49" t="s">
        <v>56</v>
      </c>
      <c r="D15" s="49" t="s">
        <v>37</v>
      </c>
      <c r="E15" s="49" t="s">
        <v>38</v>
      </c>
      <c r="F15" s="49" t="s">
        <v>86</v>
      </c>
      <c r="G15" s="49" t="s">
        <v>87</v>
      </c>
      <c r="H15" s="49" t="s">
        <v>88</v>
      </c>
      <c r="I15" s="49" t="s">
        <v>89</v>
      </c>
      <c r="J15" s="49" t="s">
        <v>20</v>
      </c>
    </row>
    <row r="16" spans="1:10" ht="19.5" customHeight="1" x14ac:dyDescent="0.2">
      <c r="A16" s="50">
        <v>1</v>
      </c>
      <c r="B16" s="51" t="s">
        <v>90</v>
      </c>
      <c r="C16" s="51" t="s">
        <v>44</v>
      </c>
      <c r="D16" s="51" t="s">
        <v>44</v>
      </c>
      <c r="E16" s="52">
        <v>3200</v>
      </c>
      <c r="F16" s="51" t="s">
        <v>91</v>
      </c>
      <c r="G16" s="51" t="s">
        <v>92</v>
      </c>
      <c r="H16" s="50" t="s">
        <v>92</v>
      </c>
      <c r="I16" s="51" t="s">
        <v>93</v>
      </c>
      <c r="J16" s="51"/>
    </row>
    <row r="17" spans="1:10" ht="19.5" customHeight="1" x14ac:dyDescent="0.2">
      <c r="A17" s="45">
        <v>2</v>
      </c>
      <c r="B17" s="23" t="s">
        <v>94</v>
      </c>
      <c r="C17" s="23" t="s">
        <v>95</v>
      </c>
      <c r="D17" s="23" t="s">
        <v>46</v>
      </c>
      <c r="E17" s="25">
        <v>890</v>
      </c>
      <c r="F17" s="23" t="s">
        <v>83</v>
      </c>
      <c r="G17" s="23" t="s">
        <v>65</v>
      </c>
      <c r="H17" s="45" t="s">
        <v>92</v>
      </c>
      <c r="I17" s="23" t="s">
        <v>93</v>
      </c>
      <c r="J17" s="23"/>
    </row>
    <row r="18" spans="1:10" ht="19.5" customHeight="1" x14ac:dyDescent="0.2">
      <c r="A18" s="50">
        <v>3</v>
      </c>
      <c r="B18" s="51" t="s">
        <v>96</v>
      </c>
      <c r="C18" s="51" t="s">
        <v>97</v>
      </c>
      <c r="D18" s="51" t="s">
        <v>42</v>
      </c>
      <c r="E18" s="52">
        <v>1450</v>
      </c>
      <c r="F18" s="51" t="s">
        <v>98</v>
      </c>
      <c r="G18" s="51" t="s">
        <v>99</v>
      </c>
      <c r="H18" s="50" t="s">
        <v>100</v>
      </c>
      <c r="I18" s="51" t="s">
        <v>101</v>
      </c>
      <c r="J18" s="51"/>
    </row>
    <row r="19" spans="1:10" ht="19.5" customHeight="1" x14ac:dyDescent="0.2">
      <c r="A19" s="45">
        <v>4</v>
      </c>
      <c r="B19" s="23" t="s">
        <v>102</v>
      </c>
      <c r="C19" s="23" t="s">
        <v>103</v>
      </c>
      <c r="D19" s="23" t="s">
        <v>47</v>
      </c>
      <c r="E19" s="25">
        <v>780</v>
      </c>
      <c r="F19" s="23" t="s">
        <v>98</v>
      </c>
      <c r="G19" s="23" t="s">
        <v>104</v>
      </c>
      <c r="H19" s="45" t="s">
        <v>100</v>
      </c>
      <c r="I19" s="23" t="s">
        <v>105</v>
      </c>
      <c r="J19" s="23"/>
    </row>
    <row r="20" spans="1:10" ht="19.5" customHeight="1" x14ac:dyDescent="0.2">
      <c r="A20" s="50">
        <v>5</v>
      </c>
      <c r="B20" s="51" t="s">
        <v>106</v>
      </c>
      <c r="C20" s="51" t="s">
        <v>107</v>
      </c>
      <c r="D20" s="51" t="s">
        <v>48</v>
      </c>
      <c r="E20" s="52">
        <v>620</v>
      </c>
      <c r="F20" s="51" t="s">
        <v>98</v>
      </c>
      <c r="G20" s="51" t="s">
        <v>69</v>
      </c>
      <c r="H20" s="50" t="s">
        <v>100</v>
      </c>
      <c r="I20" s="51" t="s">
        <v>101</v>
      </c>
      <c r="J20" s="51"/>
    </row>
    <row r="21" spans="1:10" ht="19.5" customHeight="1" x14ac:dyDescent="0.2">
      <c r="A21" s="45">
        <v>6</v>
      </c>
      <c r="B21" s="23" t="s">
        <v>108</v>
      </c>
      <c r="C21" s="23" t="s">
        <v>109</v>
      </c>
      <c r="D21" s="23" t="s">
        <v>46</v>
      </c>
      <c r="E21" s="25">
        <v>450</v>
      </c>
      <c r="F21" s="23" t="s">
        <v>83</v>
      </c>
      <c r="G21" s="23" t="s">
        <v>65</v>
      </c>
      <c r="H21" s="45" t="s">
        <v>92</v>
      </c>
      <c r="I21" s="23" t="s">
        <v>93</v>
      </c>
      <c r="J21" s="23"/>
    </row>
    <row r="22" spans="1:10" ht="19.5" customHeight="1" x14ac:dyDescent="0.2">
      <c r="A22" s="50">
        <v>7</v>
      </c>
      <c r="B22" s="51" t="s">
        <v>110</v>
      </c>
      <c r="C22" s="51" t="s">
        <v>111</v>
      </c>
      <c r="D22" s="51" t="s">
        <v>49</v>
      </c>
      <c r="E22" s="52">
        <v>1200</v>
      </c>
      <c r="F22" s="51" t="s">
        <v>98</v>
      </c>
      <c r="G22" s="51" t="s">
        <v>99</v>
      </c>
      <c r="H22" s="50" t="s">
        <v>112</v>
      </c>
      <c r="I22" s="51" t="s">
        <v>101</v>
      </c>
      <c r="J22" s="51"/>
    </row>
    <row r="23" spans="1:10" ht="19.5" customHeight="1" x14ac:dyDescent="0.2">
      <c r="A23" s="45">
        <v>8</v>
      </c>
      <c r="B23" s="23" t="s">
        <v>76</v>
      </c>
      <c r="C23" s="23" t="s">
        <v>113</v>
      </c>
      <c r="D23" s="23" t="s">
        <v>50</v>
      </c>
      <c r="E23" s="25">
        <v>340</v>
      </c>
      <c r="F23" s="23" t="s">
        <v>91</v>
      </c>
      <c r="G23" s="23" t="s">
        <v>92</v>
      </c>
      <c r="H23" s="45" t="s">
        <v>92</v>
      </c>
      <c r="I23" s="23" t="s">
        <v>93</v>
      </c>
      <c r="J23" s="23"/>
    </row>
    <row r="24" spans="1:10" ht="19.5" customHeight="1" x14ac:dyDescent="0.2">
      <c r="A24" s="50">
        <v>9</v>
      </c>
      <c r="B24" s="51"/>
      <c r="C24" s="51"/>
      <c r="D24" s="51"/>
      <c r="E24" s="50"/>
      <c r="F24" s="51"/>
      <c r="G24" s="51"/>
      <c r="H24" s="50"/>
      <c r="I24" s="51"/>
      <c r="J24" s="51"/>
    </row>
    <row r="25" spans="1:10" ht="19.5" customHeight="1" x14ac:dyDescent="0.2">
      <c r="A25" s="45">
        <v>10</v>
      </c>
      <c r="B25" s="23"/>
      <c r="C25" s="23"/>
      <c r="D25" s="23"/>
      <c r="E25" s="45"/>
      <c r="F25" s="23"/>
      <c r="G25" s="23"/>
      <c r="H25" s="45"/>
      <c r="I25" s="23"/>
      <c r="J25" s="23"/>
    </row>
    <row r="26" spans="1:10" ht="24" customHeight="1" x14ac:dyDescent="0.2">
      <c r="C26" s="53" t="s">
        <v>2</v>
      </c>
      <c r="D26" s="54"/>
      <c r="E26" s="55">
        <f>SUM(E16:E25)</f>
        <v>8930</v>
      </c>
      <c r="F26" s="54"/>
      <c r="G26" s="54"/>
      <c r="H26" s="54"/>
      <c r="I26" s="54"/>
      <c r="J26" s="54"/>
    </row>
    <row r="27" spans="1:10" ht="9.75" customHeight="1" x14ac:dyDescent="0.2"/>
    <row r="28" spans="1:10" ht="31.5" customHeight="1" x14ac:dyDescent="0.2">
      <c r="A28" s="124" t="s">
        <v>114</v>
      </c>
      <c r="B28" s="124"/>
      <c r="C28" s="124"/>
      <c r="D28" s="124"/>
      <c r="E28" s="56">
        <f>E12-E26</f>
        <v>12340</v>
      </c>
      <c r="F28" s="57"/>
      <c r="G28" s="57"/>
      <c r="H28" s="57"/>
      <c r="I28" s="57"/>
      <c r="J28" s="57"/>
    </row>
  </sheetData>
  <mergeCells count="4">
    <mergeCell ref="A1:J1"/>
    <mergeCell ref="A3:J3"/>
    <mergeCell ref="A14:J14"/>
    <mergeCell ref="A28:D2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showGridLines="0" zoomScaleNormal="100" workbookViewId="0" xr3:uid="{842E5F09-E766-5B8D-85AF-A39847EA96FD}"/>
  </sheetViews>
  <sheetFormatPr defaultColWidth="8.7421875" defaultRowHeight="15" x14ac:dyDescent="0.2"/>
  <cols>
    <col min="1" max="1" width="4.03515625" customWidth="1"/>
    <col min="2" max="2" width="11.97265625" customWidth="1"/>
    <col min="3" max="3" width="23.9453125" customWidth="1"/>
    <col min="4" max="4" width="13.98828125" customWidth="1"/>
    <col min="5" max="5" width="18.0234375" customWidth="1"/>
    <col min="6" max="6" width="13.046875" customWidth="1"/>
    <col min="7" max="7" width="9.953125" customWidth="1"/>
    <col min="8" max="8" width="11.97265625" customWidth="1"/>
    <col min="9" max="9" width="13.98828125" customWidth="1"/>
    <col min="10" max="11" width="16.0078125" customWidth="1"/>
  </cols>
  <sheetData>
    <row r="1" spans="1:11" ht="36" customHeight="1" x14ac:dyDescent="0.2">
      <c r="A1" s="123" t="s">
        <v>115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</row>
    <row r="2" spans="1:11" ht="9.75" customHeight="1" x14ac:dyDescent="0.2"/>
    <row r="3" spans="1:11" ht="24" customHeight="1" x14ac:dyDescent="0.2">
      <c r="A3" s="125" t="s">
        <v>116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</row>
    <row r="4" spans="1:11" ht="27.75" customHeight="1" x14ac:dyDescent="0.2">
      <c r="A4" s="58" t="s">
        <v>117</v>
      </c>
      <c r="B4" s="58" t="s">
        <v>59</v>
      </c>
      <c r="C4" s="58" t="s">
        <v>118</v>
      </c>
      <c r="D4" s="58" t="s">
        <v>119</v>
      </c>
      <c r="E4" s="58" t="s">
        <v>120</v>
      </c>
      <c r="F4" s="58" t="s">
        <v>121</v>
      </c>
      <c r="G4" s="58" t="s">
        <v>122</v>
      </c>
      <c r="H4" s="58" t="s">
        <v>123</v>
      </c>
      <c r="I4" s="58" t="s">
        <v>124</v>
      </c>
      <c r="J4" s="58" t="s">
        <v>125</v>
      </c>
      <c r="K4" s="58" t="s">
        <v>19</v>
      </c>
    </row>
    <row r="5" spans="1:11" ht="21.75" customHeight="1" x14ac:dyDescent="0.2">
      <c r="A5" s="59" t="s">
        <v>99</v>
      </c>
      <c r="B5" s="60" t="s">
        <v>126</v>
      </c>
      <c r="C5" s="60" t="s">
        <v>127</v>
      </c>
      <c r="D5" s="61">
        <v>15000</v>
      </c>
      <c r="E5" s="62">
        <v>3840</v>
      </c>
      <c r="F5" s="63">
        <f>E5/D5</f>
        <v>0.25600000000000001</v>
      </c>
      <c r="G5" s="60" t="s">
        <v>128</v>
      </c>
      <c r="H5" s="61">
        <f>E5*0.05</f>
        <v>192</v>
      </c>
      <c r="I5" s="60" t="s">
        <v>129</v>
      </c>
      <c r="J5" s="60" t="s">
        <v>130</v>
      </c>
      <c r="K5" s="60" t="s">
        <v>131</v>
      </c>
    </row>
    <row r="6" spans="1:11" ht="21.75" customHeight="1" x14ac:dyDescent="0.2">
      <c r="A6" s="23" t="s">
        <v>132</v>
      </c>
      <c r="B6" s="45" t="s">
        <v>69</v>
      </c>
      <c r="C6" s="45" t="s">
        <v>133</v>
      </c>
      <c r="D6" s="64">
        <v>10000</v>
      </c>
      <c r="E6" s="25">
        <v>2100</v>
      </c>
      <c r="F6" s="65">
        <f>E6/D6</f>
        <v>0.21</v>
      </c>
      <c r="G6" s="45" t="s">
        <v>110</v>
      </c>
      <c r="H6" s="64">
        <f>E6*0.05</f>
        <v>105</v>
      </c>
      <c r="I6" s="45" t="s">
        <v>134</v>
      </c>
      <c r="J6" s="45" t="s">
        <v>135</v>
      </c>
      <c r="K6" s="45" t="s">
        <v>131</v>
      </c>
    </row>
    <row r="7" spans="1:11" ht="21.75" customHeight="1" x14ac:dyDescent="0.2">
      <c r="A7" s="59" t="s">
        <v>104</v>
      </c>
      <c r="B7" s="60" t="s">
        <v>78</v>
      </c>
      <c r="C7" s="60" t="s">
        <v>136</v>
      </c>
      <c r="D7" s="61">
        <v>12000</v>
      </c>
      <c r="E7" s="62">
        <v>1400</v>
      </c>
      <c r="F7" s="63">
        <f>E7/D7</f>
        <v>0.11666666666666667</v>
      </c>
      <c r="G7" s="60" t="s">
        <v>137</v>
      </c>
      <c r="H7" s="61">
        <f>E7*0.05</f>
        <v>70</v>
      </c>
      <c r="I7" s="60" t="s">
        <v>138</v>
      </c>
      <c r="J7" s="60" t="s">
        <v>139</v>
      </c>
      <c r="K7" s="60" t="s">
        <v>131</v>
      </c>
    </row>
    <row r="8" spans="1:11" ht="21.75" customHeight="1" x14ac:dyDescent="0.2">
      <c r="A8" s="66" t="s">
        <v>35</v>
      </c>
      <c r="B8" s="67"/>
      <c r="C8" s="67"/>
      <c r="D8" s="68">
        <f>SUM(D5:D7)</f>
        <v>37000</v>
      </c>
      <c r="E8" s="68">
        <f>SUM(E5:E7)</f>
        <v>7340</v>
      </c>
      <c r="F8" s="69">
        <f>E8/D8</f>
        <v>0.19837837837837838</v>
      </c>
      <c r="G8" s="67"/>
      <c r="H8" s="68">
        <f>SUM(H5:H7)</f>
        <v>367</v>
      </c>
      <c r="I8" s="67"/>
      <c r="J8" s="67"/>
      <c r="K8" s="67"/>
    </row>
    <row r="9" spans="1:11" ht="9.75" customHeight="1" x14ac:dyDescent="0.2"/>
    <row r="10" spans="1:11" ht="24" customHeight="1" x14ac:dyDescent="0.2">
      <c r="A10" s="126" t="s">
        <v>140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</row>
    <row r="11" spans="1:11" ht="27.75" customHeight="1" x14ac:dyDescent="0.2">
      <c r="A11" s="70" t="s">
        <v>54</v>
      </c>
      <c r="B11" s="70" t="s">
        <v>55</v>
      </c>
      <c r="C11" s="70" t="s">
        <v>56</v>
      </c>
      <c r="D11" s="70" t="s">
        <v>37</v>
      </c>
      <c r="E11" s="70" t="s">
        <v>141</v>
      </c>
      <c r="F11" s="70" t="s">
        <v>38</v>
      </c>
      <c r="G11" s="70" t="s">
        <v>88</v>
      </c>
      <c r="H11" s="70" t="s">
        <v>142</v>
      </c>
      <c r="I11" s="70" t="s">
        <v>143</v>
      </c>
      <c r="J11" s="70" t="s">
        <v>144</v>
      </c>
      <c r="K11" s="70" t="s">
        <v>20</v>
      </c>
    </row>
    <row r="12" spans="1:11" ht="19.5" customHeight="1" x14ac:dyDescent="0.2">
      <c r="A12" s="71">
        <v>1</v>
      </c>
      <c r="B12" s="71" t="s">
        <v>96</v>
      </c>
      <c r="C12" s="72" t="s">
        <v>145</v>
      </c>
      <c r="D12" s="72" t="s">
        <v>42</v>
      </c>
      <c r="E12" s="72" t="s">
        <v>99</v>
      </c>
      <c r="F12" s="73">
        <v>1450</v>
      </c>
      <c r="G12" s="71">
        <v>1</v>
      </c>
      <c r="H12" s="74">
        <f>F12/G12</f>
        <v>1450</v>
      </c>
      <c r="I12" s="71">
        <v>0</v>
      </c>
      <c r="J12" s="74">
        <f>H12*I12</f>
        <v>0</v>
      </c>
      <c r="K12" s="72"/>
    </row>
    <row r="13" spans="1:11" ht="19.5" customHeight="1" x14ac:dyDescent="0.2">
      <c r="A13" s="45">
        <v>2</v>
      </c>
      <c r="B13" s="45" t="s">
        <v>102</v>
      </c>
      <c r="C13" s="23" t="s">
        <v>146</v>
      </c>
      <c r="D13" s="23" t="s">
        <v>47</v>
      </c>
      <c r="E13" s="23" t="s">
        <v>104</v>
      </c>
      <c r="F13" s="25">
        <v>780</v>
      </c>
      <c r="G13" s="45">
        <v>1</v>
      </c>
      <c r="H13" s="64">
        <f>F13/G13</f>
        <v>780</v>
      </c>
      <c r="I13" s="45">
        <v>0</v>
      </c>
      <c r="J13" s="64">
        <f>H13*I13</f>
        <v>0</v>
      </c>
      <c r="K13" s="23"/>
    </row>
    <row r="14" spans="1:11" ht="19.5" customHeight="1" x14ac:dyDescent="0.2">
      <c r="A14" s="71">
        <v>3</v>
      </c>
      <c r="B14" s="71" t="s">
        <v>106</v>
      </c>
      <c r="C14" s="72" t="s">
        <v>107</v>
      </c>
      <c r="D14" s="72" t="s">
        <v>48</v>
      </c>
      <c r="E14" s="72" t="s">
        <v>69</v>
      </c>
      <c r="F14" s="73">
        <v>620</v>
      </c>
      <c r="G14" s="71">
        <v>1</v>
      </c>
      <c r="H14" s="74">
        <f>F14/G14</f>
        <v>620</v>
      </c>
      <c r="I14" s="71">
        <v>0</v>
      </c>
      <c r="J14" s="74">
        <f>H14*I14</f>
        <v>0</v>
      </c>
      <c r="K14" s="72"/>
    </row>
    <row r="15" spans="1:11" ht="19.5" customHeight="1" x14ac:dyDescent="0.2">
      <c r="A15" s="45">
        <v>4</v>
      </c>
      <c r="B15" s="45" t="s">
        <v>147</v>
      </c>
      <c r="C15" s="23" t="s">
        <v>148</v>
      </c>
      <c r="D15" s="23" t="s">
        <v>149</v>
      </c>
      <c r="E15" s="23" t="s">
        <v>99</v>
      </c>
      <c r="F15" s="25">
        <v>990</v>
      </c>
      <c r="G15" s="45">
        <v>3</v>
      </c>
      <c r="H15" s="64">
        <f>F15/G15</f>
        <v>330</v>
      </c>
      <c r="I15" s="45">
        <v>2</v>
      </c>
      <c r="J15" s="64">
        <f>H15*I15</f>
        <v>660</v>
      </c>
      <c r="K15" s="23" t="s">
        <v>150</v>
      </c>
    </row>
    <row r="16" spans="1:11" ht="19.5" customHeight="1" x14ac:dyDescent="0.2">
      <c r="A16" s="71">
        <v>5</v>
      </c>
      <c r="B16" s="71" t="s">
        <v>151</v>
      </c>
      <c r="C16" s="72" t="s">
        <v>152</v>
      </c>
      <c r="D16" s="72" t="s">
        <v>153</v>
      </c>
      <c r="E16" s="72" t="s">
        <v>69</v>
      </c>
      <c r="F16" s="73">
        <v>12500</v>
      </c>
      <c r="G16" s="71">
        <v>12</v>
      </c>
      <c r="H16" s="74">
        <f>F16/G16</f>
        <v>1041.6666666666667</v>
      </c>
      <c r="I16" s="71">
        <v>11</v>
      </c>
      <c r="J16" s="74">
        <f>H16*I16</f>
        <v>11458.333333333334</v>
      </c>
      <c r="K16" s="72" t="s">
        <v>154</v>
      </c>
    </row>
  </sheetData>
  <mergeCells count="3">
    <mergeCell ref="A1:K1"/>
    <mergeCell ref="A3:K3"/>
    <mergeCell ref="A10:K1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"/>
  <sheetViews>
    <sheetView showGridLines="0" zoomScaleNormal="100" workbookViewId="0" xr3:uid="{51F8DEE0-4D01-5F28-A812-FC0BD7CAC4A5}"/>
  </sheetViews>
  <sheetFormatPr defaultColWidth="8.7421875" defaultRowHeight="15" x14ac:dyDescent="0.2"/>
  <cols>
    <col min="1" max="1" width="4.03515625" customWidth="1"/>
    <col min="2" max="2" width="22.05859375" customWidth="1"/>
    <col min="3" max="3" width="18.0234375" customWidth="1"/>
    <col min="4" max="4" width="16.0078125" customWidth="1"/>
    <col min="5" max="5" width="13.98828125" customWidth="1"/>
    <col min="6" max="6" width="11.97265625" customWidth="1"/>
    <col min="7" max="8" width="13.98828125" customWidth="1"/>
    <col min="9" max="9" width="16.0078125" customWidth="1"/>
    <col min="10" max="10" width="13.98828125" customWidth="1"/>
  </cols>
  <sheetData>
    <row r="1" spans="1:10" ht="36" customHeight="1" x14ac:dyDescent="0.2">
      <c r="A1" s="123" t="s">
        <v>155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9.75" customHeight="1" x14ac:dyDescent="0.2"/>
    <row r="3" spans="1:10" ht="24" customHeight="1" x14ac:dyDescent="0.2">
      <c r="A3" s="126" t="s">
        <v>156</v>
      </c>
      <c r="B3" s="126"/>
      <c r="C3" s="126"/>
      <c r="D3" s="126"/>
      <c r="E3" s="126"/>
      <c r="F3" s="126"/>
      <c r="G3" s="126"/>
      <c r="H3" s="126"/>
      <c r="I3" s="126"/>
      <c r="J3" s="126"/>
    </row>
    <row r="4" spans="1:10" ht="27.75" customHeight="1" x14ac:dyDescent="0.2">
      <c r="A4" s="70" t="s">
        <v>54</v>
      </c>
      <c r="B4" s="70" t="s">
        <v>157</v>
      </c>
      <c r="C4" s="70" t="s">
        <v>87</v>
      </c>
      <c r="D4" s="70" t="s">
        <v>158</v>
      </c>
      <c r="E4" s="70" t="s">
        <v>159</v>
      </c>
      <c r="F4" s="70" t="s">
        <v>160</v>
      </c>
      <c r="G4" s="70" t="s">
        <v>143</v>
      </c>
      <c r="H4" s="70" t="s">
        <v>142</v>
      </c>
      <c r="I4" s="70" t="s">
        <v>144</v>
      </c>
      <c r="J4" s="70" t="s">
        <v>161</v>
      </c>
    </row>
    <row r="5" spans="1:10" ht="21.75" customHeight="1" x14ac:dyDescent="0.2">
      <c r="A5" s="71">
        <v>1</v>
      </c>
      <c r="B5" s="72" t="s">
        <v>162</v>
      </c>
      <c r="C5" s="71" t="s">
        <v>99</v>
      </c>
      <c r="D5" s="74">
        <v>45000</v>
      </c>
      <c r="E5" s="71">
        <v>12</v>
      </c>
      <c r="F5" s="71">
        <v>9</v>
      </c>
      <c r="G5" s="71">
        <f>E5-F5</f>
        <v>3</v>
      </c>
      <c r="H5" s="74">
        <f>D5/E5</f>
        <v>3750</v>
      </c>
      <c r="I5" s="73">
        <f>H5*G5</f>
        <v>11250</v>
      </c>
      <c r="J5" s="71" t="s">
        <v>163</v>
      </c>
    </row>
    <row r="6" spans="1:10" ht="21.75" customHeight="1" x14ac:dyDescent="0.2">
      <c r="A6" s="45">
        <v>2</v>
      </c>
      <c r="B6" s="23" t="s">
        <v>164</v>
      </c>
      <c r="C6" s="45" t="s">
        <v>69</v>
      </c>
      <c r="D6" s="64">
        <v>18000</v>
      </c>
      <c r="E6" s="45">
        <v>6</v>
      </c>
      <c r="F6" s="45">
        <v>4</v>
      </c>
      <c r="G6" s="45">
        <f>E6-F6</f>
        <v>2</v>
      </c>
      <c r="H6" s="64">
        <f>D6/E6</f>
        <v>3000</v>
      </c>
      <c r="I6" s="25">
        <f>H6*G6</f>
        <v>6000</v>
      </c>
      <c r="J6" s="45" t="s">
        <v>165</v>
      </c>
    </row>
    <row r="7" spans="1:10" ht="21.75" customHeight="1" x14ac:dyDescent="0.2">
      <c r="A7" s="71">
        <v>3</v>
      </c>
      <c r="B7" s="72" t="s">
        <v>166</v>
      </c>
      <c r="C7" s="71" t="s">
        <v>104</v>
      </c>
      <c r="D7" s="74">
        <v>28500</v>
      </c>
      <c r="E7" s="71">
        <v>18</v>
      </c>
      <c r="F7" s="71">
        <v>2</v>
      </c>
      <c r="G7" s="71">
        <f>E7-F7</f>
        <v>16</v>
      </c>
      <c r="H7" s="74">
        <f>D7/E7</f>
        <v>1583.3333333333333</v>
      </c>
      <c r="I7" s="73">
        <f>H7*G7</f>
        <v>25333.333333333332</v>
      </c>
      <c r="J7" s="71" t="s">
        <v>167</v>
      </c>
    </row>
    <row r="8" spans="1:10" ht="21.75" customHeight="1" x14ac:dyDescent="0.2">
      <c r="A8" s="45">
        <v>4</v>
      </c>
      <c r="B8" s="23" t="s">
        <v>168</v>
      </c>
      <c r="C8" s="45" t="s">
        <v>99</v>
      </c>
      <c r="D8" s="64">
        <v>3800</v>
      </c>
      <c r="E8" s="45">
        <v>3</v>
      </c>
      <c r="F8" s="45">
        <v>1</v>
      </c>
      <c r="G8" s="45">
        <f>E8-F8</f>
        <v>2</v>
      </c>
      <c r="H8" s="64">
        <f>D8/E8</f>
        <v>1266.6666666666667</v>
      </c>
      <c r="I8" s="25">
        <f>H8*G8</f>
        <v>2533.3333333333335</v>
      </c>
      <c r="J8" s="45" t="s">
        <v>165</v>
      </c>
    </row>
    <row r="9" spans="1:10" ht="21.75" customHeight="1" x14ac:dyDescent="0.2">
      <c r="A9" s="75">
        <v>5</v>
      </c>
      <c r="B9" s="76" t="s">
        <v>169</v>
      </c>
      <c r="C9" s="75" t="s">
        <v>69</v>
      </c>
      <c r="D9" s="77">
        <v>22000</v>
      </c>
      <c r="E9" s="75">
        <v>12</v>
      </c>
      <c r="F9" s="75">
        <v>12</v>
      </c>
      <c r="G9" s="75">
        <f>E9-F9</f>
        <v>0</v>
      </c>
      <c r="H9" s="77">
        <f>D9/E9</f>
        <v>1833.3333333333333</v>
      </c>
      <c r="I9" s="78">
        <f>H9*G9</f>
        <v>0</v>
      </c>
      <c r="J9" s="75" t="s">
        <v>170</v>
      </c>
    </row>
    <row r="10" spans="1:10" ht="24" customHeight="1" x14ac:dyDescent="0.2">
      <c r="A10" s="67"/>
      <c r="B10" s="66" t="s">
        <v>171</v>
      </c>
      <c r="C10" s="67"/>
      <c r="D10" s="68">
        <f>SUM(D5:D9)</f>
        <v>117300</v>
      </c>
      <c r="E10" s="67"/>
      <c r="F10" s="67"/>
      <c r="G10" s="67"/>
      <c r="H10" s="68">
        <f>SUM(H5:H9)</f>
        <v>11433.333333333334</v>
      </c>
      <c r="I10" s="68">
        <f>SUM(I5:I9)</f>
        <v>45116.666666666664</v>
      </c>
      <c r="J10" s="67"/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8"/>
  <sheetViews>
    <sheetView showGridLines="0" zoomScaleNormal="100" workbookViewId="0" xr3:uid="{F9CF3CF3-643B-5BE6-8B46-32C596A47465}"/>
  </sheetViews>
  <sheetFormatPr defaultColWidth="8.7421875" defaultRowHeight="15" x14ac:dyDescent="0.2"/>
  <cols>
    <col min="1" max="1" width="4.03515625" customWidth="1"/>
    <col min="2" max="2" width="20.04296875" customWidth="1"/>
    <col min="3" max="3" width="22.05859375" customWidth="1"/>
    <col min="4" max="5" width="13.98828125" customWidth="1"/>
    <col min="6" max="7" width="13.046875" customWidth="1"/>
    <col min="8" max="8" width="13.98828125" customWidth="1"/>
    <col min="9" max="9" width="9.953125" customWidth="1"/>
    <col min="10" max="10" width="16.0078125" customWidth="1"/>
  </cols>
  <sheetData>
    <row r="1" spans="1:10" ht="36" customHeight="1" x14ac:dyDescent="0.2">
      <c r="A1" s="123" t="s">
        <v>172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9.75" customHeight="1" x14ac:dyDescent="0.2"/>
    <row r="3" spans="1:10" ht="24" customHeight="1" x14ac:dyDescent="0.2">
      <c r="A3" s="125" t="s">
        <v>173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25.5" customHeight="1" x14ac:dyDescent="0.2">
      <c r="A4" s="58" t="s">
        <v>54</v>
      </c>
      <c r="B4" s="58" t="s">
        <v>174</v>
      </c>
      <c r="C4" s="58" t="s">
        <v>56</v>
      </c>
      <c r="D4" s="58" t="s">
        <v>55</v>
      </c>
      <c r="E4" s="58" t="s">
        <v>38</v>
      </c>
      <c r="F4" s="58" t="s">
        <v>175</v>
      </c>
      <c r="G4" s="58" t="s">
        <v>176</v>
      </c>
      <c r="H4" s="58" t="s">
        <v>177</v>
      </c>
      <c r="I4" s="58" t="s">
        <v>178</v>
      </c>
      <c r="J4" s="58" t="s">
        <v>19</v>
      </c>
    </row>
    <row r="5" spans="1:10" ht="19.5" customHeight="1" x14ac:dyDescent="0.2">
      <c r="A5" s="60">
        <v>1</v>
      </c>
      <c r="B5" s="59" t="s">
        <v>179</v>
      </c>
      <c r="C5" s="59" t="s">
        <v>180</v>
      </c>
      <c r="D5" s="60" t="s">
        <v>181</v>
      </c>
      <c r="E5" s="79">
        <v>1500</v>
      </c>
      <c r="F5" s="61">
        <v>0</v>
      </c>
      <c r="G5" s="61">
        <f>E5-F5</f>
        <v>1500</v>
      </c>
      <c r="H5" s="60" t="s">
        <v>182</v>
      </c>
      <c r="I5" s="60" t="s">
        <v>183</v>
      </c>
      <c r="J5" s="60" t="s">
        <v>184</v>
      </c>
    </row>
    <row r="6" spans="1:10" ht="19.5" customHeight="1" x14ac:dyDescent="0.2">
      <c r="A6" s="45">
        <v>2</v>
      </c>
      <c r="B6" s="23" t="s">
        <v>185</v>
      </c>
      <c r="C6" s="23" t="s">
        <v>186</v>
      </c>
      <c r="D6" s="45" t="s">
        <v>106</v>
      </c>
      <c r="E6" s="26">
        <v>250</v>
      </c>
      <c r="F6" s="64">
        <v>250</v>
      </c>
      <c r="G6" s="64">
        <f>E6-F6</f>
        <v>0</v>
      </c>
      <c r="H6" s="45" t="s">
        <v>76</v>
      </c>
      <c r="I6" s="45" t="s">
        <v>92</v>
      </c>
      <c r="J6" s="45" t="s">
        <v>187</v>
      </c>
    </row>
    <row r="7" spans="1:10" ht="19.5" customHeight="1" x14ac:dyDescent="0.2">
      <c r="A7" s="60">
        <v>3</v>
      </c>
      <c r="B7" s="59" t="s">
        <v>188</v>
      </c>
      <c r="C7" s="59" t="s">
        <v>189</v>
      </c>
      <c r="D7" s="60" t="s">
        <v>60</v>
      </c>
      <c r="E7" s="79">
        <v>800</v>
      </c>
      <c r="F7" s="61">
        <v>400</v>
      </c>
      <c r="G7" s="61">
        <f>E7-F7</f>
        <v>400</v>
      </c>
      <c r="H7" s="60" t="s">
        <v>190</v>
      </c>
      <c r="I7" s="60" t="s">
        <v>191</v>
      </c>
      <c r="J7" s="60" t="s">
        <v>192</v>
      </c>
    </row>
    <row r="8" spans="1:10" ht="19.5" customHeight="1" x14ac:dyDescent="0.2">
      <c r="A8" s="45">
        <v>4</v>
      </c>
      <c r="B8" s="23"/>
      <c r="C8" s="23"/>
      <c r="D8" s="45"/>
      <c r="E8" s="45"/>
      <c r="F8" s="45"/>
      <c r="G8" s="45"/>
      <c r="H8" s="45"/>
      <c r="I8" s="45"/>
      <c r="J8" s="45"/>
    </row>
    <row r="9" spans="1:10" ht="19.5" customHeight="1" x14ac:dyDescent="0.2">
      <c r="A9" s="60">
        <v>5</v>
      </c>
      <c r="B9" s="59"/>
      <c r="C9" s="59"/>
      <c r="D9" s="60"/>
      <c r="E9" s="60"/>
      <c r="F9" s="60"/>
      <c r="G9" s="60"/>
      <c r="H9" s="60"/>
      <c r="I9" s="60"/>
      <c r="J9" s="60"/>
    </row>
    <row r="10" spans="1:10" ht="21.75" customHeight="1" x14ac:dyDescent="0.2">
      <c r="A10" s="80"/>
      <c r="B10" s="81" t="s">
        <v>193</v>
      </c>
      <c r="C10" s="80"/>
      <c r="D10" s="80"/>
      <c r="E10" s="82">
        <f>SUM(E5:E9)</f>
        <v>2550</v>
      </c>
      <c r="F10" s="80"/>
      <c r="G10" s="82">
        <f>SUM(G5:G9)</f>
        <v>1900</v>
      </c>
      <c r="H10" s="80"/>
      <c r="I10" s="80"/>
      <c r="J10" s="80"/>
    </row>
    <row r="11" spans="1:10" ht="9.75" customHeight="1" x14ac:dyDescent="0.2"/>
    <row r="12" spans="1:10" ht="24" customHeight="1" x14ac:dyDescent="0.2">
      <c r="A12" s="122" t="s">
        <v>194</v>
      </c>
      <c r="B12" s="122"/>
      <c r="C12" s="122"/>
      <c r="D12" s="122"/>
      <c r="E12" s="122"/>
      <c r="F12" s="122"/>
      <c r="G12" s="122"/>
      <c r="H12" s="122"/>
      <c r="I12" s="122"/>
      <c r="J12" s="122"/>
    </row>
    <row r="13" spans="1:10" ht="25.5" customHeight="1" x14ac:dyDescent="0.2">
      <c r="A13" s="49" t="s">
        <v>54</v>
      </c>
      <c r="B13" s="49" t="s">
        <v>195</v>
      </c>
      <c r="C13" s="49" t="s">
        <v>56</v>
      </c>
      <c r="D13" s="49" t="s">
        <v>196</v>
      </c>
      <c r="E13" s="49" t="s">
        <v>38</v>
      </c>
      <c r="F13" s="49" t="s">
        <v>175</v>
      </c>
      <c r="G13" s="49" t="s">
        <v>176</v>
      </c>
      <c r="H13" s="49" t="s">
        <v>122</v>
      </c>
      <c r="I13" s="49" t="s">
        <v>197</v>
      </c>
      <c r="J13" s="49" t="s">
        <v>19</v>
      </c>
    </row>
    <row r="14" spans="1:10" ht="19.5" customHeight="1" x14ac:dyDescent="0.2">
      <c r="A14" s="83">
        <v>1</v>
      </c>
      <c r="B14" s="84" t="s">
        <v>126</v>
      </c>
      <c r="C14" s="84" t="s">
        <v>198</v>
      </c>
      <c r="D14" s="83" t="s">
        <v>199</v>
      </c>
      <c r="E14" s="85">
        <v>20000</v>
      </c>
      <c r="F14" s="86">
        <v>4444</v>
      </c>
      <c r="G14" s="86">
        <f>E14-F14</f>
        <v>15556</v>
      </c>
      <c r="H14" s="83" t="s">
        <v>200</v>
      </c>
      <c r="I14" s="83" t="s">
        <v>201</v>
      </c>
      <c r="J14" s="83" t="s">
        <v>202</v>
      </c>
    </row>
    <row r="15" spans="1:10" ht="19.5" customHeight="1" x14ac:dyDescent="0.2">
      <c r="A15" s="45">
        <v>2</v>
      </c>
      <c r="B15" s="23" t="s">
        <v>203</v>
      </c>
      <c r="C15" s="23" t="s">
        <v>204</v>
      </c>
      <c r="D15" s="45" t="s">
        <v>205</v>
      </c>
      <c r="E15" s="25">
        <v>5000</v>
      </c>
      <c r="F15" s="64">
        <v>2000</v>
      </c>
      <c r="G15" s="64">
        <f>E15-F15</f>
        <v>3000</v>
      </c>
      <c r="H15" s="45" t="s">
        <v>206</v>
      </c>
      <c r="I15" s="45" t="s">
        <v>207</v>
      </c>
      <c r="J15" s="45" t="s">
        <v>208</v>
      </c>
    </row>
    <row r="16" spans="1:10" ht="19.5" customHeight="1" x14ac:dyDescent="0.2">
      <c r="A16" s="83">
        <v>3</v>
      </c>
      <c r="B16" s="84" t="s">
        <v>209</v>
      </c>
      <c r="C16" s="84" t="s">
        <v>210</v>
      </c>
      <c r="D16" s="83" t="s">
        <v>211</v>
      </c>
      <c r="E16" s="85">
        <v>1500</v>
      </c>
      <c r="F16" s="86">
        <v>0</v>
      </c>
      <c r="G16" s="86">
        <f>E16-F16</f>
        <v>1500</v>
      </c>
      <c r="H16" s="83" t="s">
        <v>212</v>
      </c>
      <c r="I16" s="83" t="s">
        <v>207</v>
      </c>
      <c r="J16" s="83" t="s">
        <v>184</v>
      </c>
    </row>
    <row r="17" spans="1:10" ht="19.5" customHeight="1" x14ac:dyDescent="0.2">
      <c r="A17" s="45">
        <v>4</v>
      </c>
      <c r="B17" s="23"/>
      <c r="C17" s="23"/>
      <c r="D17" s="45"/>
      <c r="E17" s="45"/>
      <c r="F17" s="45"/>
      <c r="G17" s="45"/>
      <c r="H17" s="45"/>
      <c r="I17" s="45"/>
      <c r="J17" s="45"/>
    </row>
    <row r="18" spans="1:10" ht="21.75" customHeight="1" x14ac:dyDescent="0.2">
      <c r="A18" s="53"/>
      <c r="B18" s="87" t="s">
        <v>213</v>
      </c>
      <c r="C18" s="53"/>
      <c r="D18" s="53"/>
      <c r="E18" s="88">
        <f>SUM(E14:E17)</f>
        <v>26500</v>
      </c>
      <c r="F18" s="53"/>
      <c r="G18" s="88">
        <f>SUM(G14:G17)</f>
        <v>20056</v>
      </c>
      <c r="H18" s="53"/>
      <c r="I18" s="53"/>
      <c r="J18" s="53"/>
    </row>
  </sheetData>
  <mergeCells count="3">
    <mergeCell ref="A1:J1"/>
    <mergeCell ref="A3:J3"/>
    <mergeCell ref="A12:J1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0"/>
  <sheetViews>
    <sheetView showGridLines="0" zoomScaleNormal="100" workbookViewId="0" xr3:uid="{78B4E459-6924-5F8B-B7BA-2DD04133E49E}"/>
  </sheetViews>
  <sheetFormatPr defaultColWidth="8.7421875" defaultRowHeight="15" x14ac:dyDescent="0.2"/>
  <cols>
    <col min="1" max="1" width="18.0234375" customWidth="1"/>
    <col min="2" max="3" width="13.98828125" customWidth="1"/>
    <col min="4" max="4" width="13.046875" customWidth="1"/>
    <col min="5" max="6" width="11.97265625" customWidth="1"/>
    <col min="7" max="7" width="16.0078125" customWidth="1"/>
    <col min="8" max="8" width="13.98828125" customWidth="1"/>
    <col min="9" max="9" width="22.05859375" customWidth="1"/>
  </cols>
  <sheetData>
    <row r="1" spans="1:9" ht="36" customHeight="1" x14ac:dyDescent="0.2">
      <c r="A1" s="123" t="s">
        <v>214</v>
      </c>
      <c r="B1" s="123"/>
      <c r="C1" s="123"/>
      <c r="D1" s="123"/>
      <c r="E1" s="123"/>
      <c r="F1" s="123"/>
      <c r="G1" s="123"/>
      <c r="H1" s="123"/>
      <c r="I1" s="123"/>
    </row>
    <row r="2" spans="1:9" ht="9.75" customHeight="1" x14ac:dyDescent="0.2"/>
    <row r="3" spans="1:9" ht="24" customHeight="1" x14ac:dyDescent="0.2">
      <c r="A3" s="127" t="s">
        <v>215</v>
      </c>
      <c r="B3" s="127"/>
      <c r="C3" s="127"/>
      <c r="D3" s="127"/>
    </row>
    <row r="4" spans="1:9" ht="19.5" customHeight="1" x14ac:dyDescent="0.2">
      <c r="A4" s="89" t="s">
        <v>216</v>
      </c>
      <c r="B4" s="90">
        <v>18450</v>
      </c>
      <c r="C4" s="91"/>
      <c r="D4" s="91"/>
    </row>
    <row r="5" spans="1:9" ht="19.5" customHeight="1" x14ac:dyDescent="0.2">
      <c r="A5" s="89" t="s">
        <v>217</v>
      </c>
      <c r="B5" s="92" t="s">
        <v>218</v>
      </c>
      <c r="C5" s="91"/>
      <c r="D5" s="91"/>
    </row>
    <row r="6" spans="1:9" ht="19.5" customHeight="1" x14ac:dyDescent="0.2">
      <c r="A6" s="89" t="s">
        <v>219</v>
      </c>
      <c r="B6" s="92" t="s">
        <v>220</v>
      </c>
      <c r="C6" s="91"/>
      <c r="D6" s="91"/>
    </row>
    <row r="7" spans="1:9" ht="9.75" customHeight="1" x14ac:dyDescent="0.2"/>
    <row r="8" spans="1:9" ht="24" customHeight="1" x14ac:dyDescent="0.2">
      <c r="A8" s="1" t="s">
        <v>221</v>
      </c>
      <c r="B8" s="1"/>
      <c r="C8" s="1"/>
      <c r="D8" s="1"/>
      <c r="E8" s="1"/>
      <c r="F8" s="1"/>
      <c r="G8" s="1"/>
      <c r="H8" s="1"/>
      <c r="I8" s="1"/>
    </row>
    <row r="9" spans="1:9" ht="25.5" customHeight="1" x14ac:dyDescent="0.2">
      <c r="A9" s="43" t="s">
        <v>37</v>
      </c>
      <c r="B9" s="43" t="s">
        <v>40</v>
      </c>
      <c r="C9" s="43" t="s">
        <v>222</v>
      </c>
      <c r="D9" s="43" t="s">
        <v>41</v>
      </c>
      <c r="E9" s="43" t="s">
        <v>121</v>
      </c>
      <c r="F9" s="43" t="s">
        <v>19</v>
      </c>
      <c r="G9" s="43" t="s">
        <v>223</v>
      </c>
      <c r="H9" s="43" t="s">
        <v>224</v>
      </c>
      <c r="I9" s="43" t="s">
        <v>225</v>
      </c>
    </row>
    <row r="10" spans="1:9" ht="19.5" customHeight="1" x14ac:dyDescent="0.2">
      <c r="A10" s="16" t="s">
        <v>44</v>
      </c>
      <c r="B10" s="93">
        <v>3200</v>
      </c>
      <c r="C10" s="94">
        <v>3200</v>
      </c>
      <c r="D10" s="95">
        <f>C10-B10</f>
        <v>0</v>
      </c>
      <c r="E10" s="20">
        <f>C10/B10</f>
        <v>1</v>
      </c>
      <c r="F10" s="96" t="s">
        <v>226</v>
      </c>
      <c r="G10" s="44" t="s">
        <v>227</v>
      </c>
      <c r="H10" s="97">
        <v>3200</v>
      </c>
      <c r="I10" s="16" t="s">
        <v>228</v>
      </c>
    </row>
    <row r="11" spans="1:9" ht="19.5" customHeight="1" x14ac:dyDescent="0.2">
      <c r="A11" s="23" t="s">
        <v>229</v>
      </c>
      <c r="B11" s="90">
        <v>2000</v>
      </c>
      <c r="C11" s="98">
        <v>1450</v>
      </c>
      <c r="D11" s="41">
        <f>C11-B11</f>
        <v>-550</v>
      </c>
      <c r="E11" s="27">
        <f>C11/B11</f>
        <v>0.72499999999999998</v>
      </c>
      <c r="F11" s="42" t="s">
        <v>45</v>
      </c>
      <c r="G11" s="45" t="s">
        <v>227</v>
      </c>
      <c r="H11" s="64">
        <v>1800</v>
      </c>
      <c r="I11" s="23" t="s">
        <v>230</v>
      </c>
    </row>
    <row r="12" spans="1:9" ht="19.5" customHeight="1" x14ac:dyDescent="0.2">
      <c r="A12" s="16" t="s">
        <v>231</v>
      </c>
      <c r="B12" s="93">
        <v>1000</v>
      </c>
      <c r="C12" s="94">
        <v>890</v>
      </c>
      <c r="D12" s="95">
        <f>C12-B12</f>
        <v>-110</v>
      </c>
      <c r="E12" s="20">
        <f>C12/B12</f>
        <v>0.89</v>
      </c>
      <c r="F12" s="42" t="s">
        <v>45</v>
      </c>
      <c r="G12" s="44" t="s">
        <v>227</v>
      </c>
      <c r="H12" s="97">
        <v>1000</v>
      </c>
      <c r="I12" s="16"/>
    </row>
    <row r="13" spans="1:9" ht="19.5" customHeight="1" x14ac:dyDescent="0.2">
      <c r="A13" s="23" t="s">
        <v>47</v>
      </c>
      <c r="B13" s="90">
        <v>1200</v>
      </c>
      <c r="C13" s="98">
        <v>780</v>
      </c>
      <c r="D13" s="41">
        <f>C13-B13</f>
        <v>-420</v>
      </c>
      <c r="E13" s="27">
        <f>C13/B13</f>
        <v>0.65</v>
      </c>
      <c r="F13" s="42" t="s">
        <v>45</v>
      </c>
      <c r="G13" s="45" t="s">
        <v>227</v>
      </c>
      <c r="H13" s="64">
        <v>1000</v>
      </c>
      <c r="I13" s="23" t="s">
        <v>232</v>
      </c>
    </row>
    <row r="14" spans="1:9" ht="19.5" customHeight="1" x14ac:dyDescent="0.2">
      <c r="A14" s="16" t="s">
        <v>50</v>
      </c>
      <c r="B14" s="93">
        <v>600</v>
      </c>
      <c r="C14" s="94">
        <v>340</v>
      </c>
      <c r="D14" s="95">
        <f>C14-B14</f>
        <v>-260</v>
      </c>
      <c r="E14" s="20">
        <f>C14/B14</f>
        <v>0.56666666666666665</v>
      </c>
      <c r="F14" s="42" t="s">
        <v>45</v>
      </c>
      <c r="G14" s="44" t="s">
        <v>233</v>
      </c>
      <c r="H14" s="97">
        <v>600</v>
      </c>
      <c r="I14" s="16"/>
    </row>
    <row r="15" spans="1:9" ht="19.5" customHeight="1" x14ac:dyDescent="0.2">
      <c r="A15" s="23" t="s">
        <v>48</v>
      </c>
      <c r="B15" s="90">
        <v>800</v>
      </c>
      <c r="C15" s="98">
        <v>620</v>
      </c>
      <c r="D15" s="41">
        <f>C15-B15</f>
        <v>-180</v>
      </c>
      <c r="E15" s="27">
        <f>C15/B15</f>
        <v>0.77500000000000002</v>
      </c>
      <c r="F15" s="42" t="s">
        <v>45</v>
      </c>
      <c r="G15" s="45" t="s">
        <v>234</v>
      </c>
      <c r="H15" s="64">
        <v>600</v>
      </c>
      <c r="I15" s="23" t="s">
        <v>235</v>
      </c>
    </row>
    <row r="16" spans="1:9" ht="19.5" customHeight="1" x14ac:dyDescent="0.2">
      <c r="A16" s="16" t="s">
        <v>49</v>
      </c>
      <c r="B16" s="93">
        <v>500</v>
      </c>
      <c r="C16" s="85">
        <v>1200</v>
      </c>
      <c r="D16" s="95">
        <f>C16-B16</f>
        <v>700</v>
      </c>
      <c r="E16" s="20">
        <f>C16/B16</f>
        <v>2.4</v>
      </c>
      <c r="F16" s="40" t="s">
        <v>236</v>
      </c>
      <c r="G16" s="44" t="s">
        <v>234</v>
      </c>
      <c r="H16" s="97">
        <v>400</v>
      </c>
      <c r="I16" s="16" t="s">
        <v>237</v>
      </c>
    </row>
    <row r="17" spans="1:9" ht="19.5" customHeight="1" x14ac:dyDescent="0.2">
      <c r="A17" s="23" t="s">
        <v>238</v>
      </c>
      <c r="B17" s="90">
        <v>500</v>
      </c>
      <c r="C17" s="98">
        <v>0</v>
      </c>
      <c r="D17" s="41">
        <f>C17-B17</f>
        <v>-500</v>
      </c>
      <c r="E17" s="27">
        <f>C17/B17</f>
        <v>0</v>
      </c>
      <c r="F17" s="42" t="s">
        <v>45</v>
      </c>
      <c r="G17" s="45" t="s">
        <v>233</v>
      </c>
      <c r="H17" s="64">
        <v>500</v>
      </c>
      <c r="I17" s="23" t="s">
        <v>82</v>
      </c>
    </row>
    <row r="18" spans="1:9" ht="19.5" customHeight="1" x14ac:dyDescent="0.2">
      <c r="A18" s="16" t="s">
        <v>239</v>
      </c>
      <c r="B18" s="93">
        <v>2500</v>
      </c>
      <c r="C18" s="94">
        <v>2500</v>
      </c>
      <c r="D18" s="95">
        <f>C18-B18</f>
        <v>0</v>
      </c>
      <c r="E18" s="20">
        <f>C18/B18</f>
        <v>1</v>
      </c>
      <c r="F18" s="96" t="s">
        <v>226</v>
      </c>
      <c r="G18" s="44" t="s">
        <v>227</v>
      </c>
      <c r="H18" s="97">
        <v>3000</v>
      </c>
      <c r="I18" s="16" t="s">
        <v>240</v>
      </c>
    </row>
    <row r="19" spans="1:9" ht="19.5" customHeight="1" x14ac:dyDescent="0.2">
      <c r="A19" s="23" t="s">
        <v>51</v>
      </c>
      <c r="B19" s="90">
        <v>800</v>
      </c>
      <c r="C19" s="85">
        <v>850</v>
      </c>
      <c r="D19" s="41">
        <f>C19-B19</f>
        <v>50</v>
      </c>
      <c r="E19" s="27">
        <f>C19/B19</f>
        <v>1.0625</v>
      </c>
      <c r="F19" s="40" t="s">
        <v>236</v>
      </c>
      <c r="G19" s="45" t="s">
        <v>234</v>
      </c>
      <c r="H19" s="64">
        <v>700</v>
      </c>
      <c r="I19" s="23"/>
    </row>
    <row r="20" spans="1:9" ht="24" customHeight="1" x14ac:dyDescent="0.2">
      <c r="A20" s="99" t="s">
        <v>35</v>
      </c>
      <c r="B20" s="33">
        <f>SUM(B10:B19)</f>
        <v>13100</v>
      </c>
      <c r="C20" s="33">
        <f>SUM(C10:C19)</f>
        <v>11830</v>
      </c>
      <c r="D20" s="33">
        <f>C20-B20</f>
        <v>-1270</v>
      </c>
      <c r="E20" s="34">
        <f>C20/B20</f>
        <v>0.90305343511450387</v>
      </c>
      <c r="F20" s="100"/>
      <c r="G20" s="100"/>
      <c r="H20" s="100"/>
      <c r="I20" s="100"/>
    </row>
  </sheetData>
  <mergeCells count="3">
    <mergeCell ref="A1:I1"/>
    <mergeCell ref="A3:D3"/>
    <mergeCell ref="A8:I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9"/>
  <sheetViews>
    <sheetView showGridLines="0" zoomScaleNormal="100" workbookViewId="0" xr3:uid="{9B253EF2-77E0-53E3-AE26-4D66ECD923F3}"/>
  </sheetViews>
  <sheetFormatPr defaultColWidth="8.7421875" defaultRowHeight="15" x14ac:dyDescent="0.2"/>
  <cols>
    <col min="1" max="1" width="22.05859375" customWidth="1"/>
    <col min="2" max="3" width="14.9296875" customWidth="1"/>
    <col min="4" max="4" width="13.98828125" customWidth="1"/>
    <col min="5" max="5" width="11.97265625" customWidth="1"/>
    <col min="6" max="6" width="16.0078125" customWidth="1"/>
    <col min="7" max="7" width="11.97265625" customWidth="1"/>
    <col min="8" max="8" width="13.98828125" customWidth="1"/>
    <col min="9" max="9" width="11.97265625" customWidth="1"/>
    <col min="10" max="10" width="16.0078125" customWidth="1"/>
  </cols>
  <sheetData>
    <row r="1" spans="1:10" ht="36" customHeight="1" x14ac:dyDescent="0.2">
      <c r="A1" s="123" t="s">
        <v>241</v>
      </c>
      <c r="B1" s="123"/>
      <c r="C1" s="123"/>
      <c r="D1" s="123"/>
      <c r="E1" s="123"/>
      <c r="F1" s="123"/>
      <c r="G1" s="123"/>
      <c r="H1" s="123"/>
      <c r="I1" s="123"/>
      <c r="J1" s="123"/>
    </row>
    <row r="2" spans="1:10" ht="9.75" customHeight="1" x14ac:dyDescent="0.2"/>
    <row r="3" spans="1:10" ht="24" customHeight="1" x14ac:dyDescent="0.2">
      <c r="A3" s="128" t="s">
        <v>242</v>
      </c>
      <c r="B3" s="128"/>
      <c r="C3" s="128"/>
      <c r="D3" s="128"/>
      <c r="E3" s="128"/>
      <c r="F3" s="128"/>
      <c r="G3" s="128"/>
      <c r="H3" s="128"/>
      <c r="I3" s="128"/>
      <c r="J3" s="128"/>
    </row>
    <row r="4" spans="1:10" ht="27.75" customHeight="1" x14ac:dyDescent="0.2">
      <c r="A4" s="101" t="s">
        <v>243</v>
      </c>
      <c r="B4" s="101" t="s">
        <v>244</v>
      </c>
      <c r="C4" s="101" t="s">
        <v>245</v>
      </c>
      <c r="D4" s="101" t="s">
        <v>176</v>
      </c>
      <c r="E4" s="101" t="s">
        <v>246</v>
      </c>
      <c r="F4" s="101" t="s">
        <v>247</v>
      </c>
      <c r="G4" s="101" t="s">
        <v>248</v>
      </c>
      <c r="H4" s="101" t="s">
        <v>249</v>
      </c>
      <c r="I4" s="101" t="s">
        <v>223</v>
      </c>
      <c r="J4" s="101" t="s">
        <v>37</v>
      </c>
    </row>
    <row r="5" spans="1:10" ht="24" customHeight="1" x14ac:dyDescent="0.2">
      <c r="A5" s="76" t="s">
        <v>250</v>
      </c>
      <c r="B5" s="77">
        <v>10000</v>
      </c>
      <c r="C5" s="77">
        <v>7200</v>
      </c>
      <c r="D5" s="77">
        <f>C5-B5</f>
        <v>-2800</v>
      </c>
      <c r="E5" s="102">
        <f>C5/B5</f>
        <v>0.72</v>
      </c>
      <c r="F5" s="77">
        <v>900</v>
      </c>
      <c r="G5" s="103">
        <f>IFERROR(D5/F5,"")</f>
        <v>-3.1111111111111112</v>
      </c>
      <c r="H5" s="75" t="s">
        <v>163</v>
      </c>
      <c r="I5" s="75" t="s">
        <v>251</v>
      </c>
      <c r="J5" s="75" t="s">
        <v>252</v>
      </c>
    </row>
    <row r="6" spans="1:10" ht="24" customHeight="1" x14ac:dyDescent="0.2">
      <c r="A6" s="59" t="s">
        <v>253</v>
      </c>
      <c r="B6" s="61">
        <v>30000</v>
      </c>
      <c r="C6" s="61">
        <v>15000</v>
      </c>
      <c r="D6" s="61">
        <f>C6-B6</f>
        <v>-15000</v>
      </c>
      <c r="E6" s="104">
        <f>C6/B6</f>
        <v>0.5</v>
      </c>
      <c r="F6" s="61">
        <v>1500</v>
      </c>
      <c r="G6" s="105">
        <f>IFERROR(D6/F6,"")</f>
        <v>-10</v>
      </c>
      <c r="H6" s="60" t="s">
        <v>254</v>
      </c>
      <c r="I6" s="60" t="s">
        <v>255</v>
      </c>
      <c r="J6" s="60" t="s">
        <v>256</v>
      </c>
    </row>
    <row r="7" spans="1:10" ht="24" customHeight="1" x14ac:dyDescent="0.2">
      <c r="A7" s="72" t="s">
        <v>257</v>
      </c>
      <c r="B7" s="74">
        <v>75000</v>
      </c>
      <c r="C7" s="74">
        <v>22500</v>
      </c>
      <c r="D7" s="74">
        <f>C7-B7</f>
        <v>-52500</v>
      </c>
      <c r="E7" s="106">
        <f>C7/B7</f>
        <v>0.3</v>
      </c>
      <c r="F7" s="74">
        <v>2000</v>
      </c>
      <c r="G7" s="107">
        <f>IFERROR(D7/F7,"")</f>
        <v>-26.25</v>
      </c>
      <c r="H7" s="71" t="s">
        <v>258</v>
      </c>
      <c r="I7" s="71" t="s">
        <v>259</v>
      </c>
      <c r="J7" s="71" t="s">
        <v>260</v>
      </c>
    </row>
    <row r="8" spans="1:10" ht="24" customHeight="1" x14ac:dyDescent="0.2">
      <c r="A8" s="108" t="s">
        <v>261</v>
      </c>
      <c r="B8" s="109">
        <v>50000</v>
      </c>
      <c r="C8" s="109">
        <v>8000</v>
      </c>
      <c r="D8" s="109">
        <f>C8-B8</f>
        <v>-42000</v>
      </c>
      <c r="E8" s="110">
        <f>C8/B8</f>
        <v>0.16</v>
      </c>
      <c r="F8" s="109">
        <v>1000</v>
      </c>
      <c r="G8" s="111">
        <f>IFERROR(D8/F8,"")</f>
        <v>-42</v>
      </c>
      <c r="H8" s="112" t="s">
        <v>262</v>
      </c>
      <c r="I8" s="112" t="s">
        <v>263</v>
      </c>
      <c r="J8" s="112" t="s">
        <v>82</v>
      </c>
    </row>
    <row r="9" spans="1:10" ht="24" customHeight="1" x14ac:dyDescent="0.2">
      <c r="A9" s="84" t="s">
        <v>264</v>
      </c>
      <c r="B9" s="86">
        <v>200000</v>
      </c>
      <c r="C9" s="86">
        <v>35000</v>
      </c>
      <c r="D9" s="86">
        <f>C9-B9</f>
        <v>-165000</v>
      </c>
      <c r="E9" s="113">
        <f>C9/B9</f>
        <v>0.17499999999999999</v>
      </c>
      <c r="F9" s="86">
        <v>3000</v>
      </c>
      <c r="G9" s="114">
        <f>IFERROR(D9/F9,"")</f>
        <v>-55</v>
      </c>
      <c r="H9" s="83" t="s">
        <v>265</v>
      </c>
      <c r="I9" s="83" t="s">
        <v>263</v>
      </c>
      <c r="J9" s="83" t="s">
        <v>266</v>
      </c>
    </row>
  </sheetData>
  <mergeCells count="2">
    <mergeCell ref="A1:J1"/>
    <mergeCell ref="A3:J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"/>
  <sheetViews>
    <sheetView showGridLines="0" zoomScaleNormal="100" workbookViewId="0" xr3:uid="{85D5C41F-068E-5C55-9968-509E7C2A5619}"/>
  </sheetViews>
  <sheetFormatPr defaultColWidth="8.7421875" defaultRowHeight="15" x14ac:dyDescent="0.2"/>
  <cols>
    <col min="1" max="1" width="11.97265625" customWidth="1"/>
    <col min="2" max="4" width="13.98828125" customWidth="1"/>
    <col min="5" max="5" width="13.046875" customWidth="1"/>
    <col min="6" max="7" width="13.98828125" customWidth="1"/>
    <col min="8" max="8" width="16.94921875" customWidth="1"/>
    <col min="9" max="9" width="13.98828125" customWidth="1"/>
    <col min="10" max="10" width="13.046875" customWidth="1"/>
    <col min="11" max="12" width="13.98828125" customWidth="1"/>
  </cols>
  <sheetData>
    <row r="1" spans="1:12" ht="36" customHeight="1" x14ac:dyDescent="0.2">
      <c r="A1" s="123" t="s">
        <v>267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</row>
    <row r="2" spans="1:12" ht="9.75" customHeight="1" x14ac:dyDescent="0.2"/>
    <row r="3" spans="1:12" ht="24" customHeight="1" x14ac:dyDescent="0.2">
      <c r="A3" s="125" t="s">
        <v>268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5"/>
    </row>
    <row r="4" spans="1:12" ht="30" customHeight="1" x14ac:dyDescent="0.2">
      <c r="A4" s="58" t="s">
        <v>14</v>
      </c>
      <c r="B4" s="58" t="s">
        <v>15</v>
      </c>
      <c r="C4" s="58" t="s">
        <v>16</v>
      </c>
      <c r="D4" s="58" t="s">
        <v>17</v>
      </c>
      <c r="E4" s="58" t="s">
        <v>18</v>
      </c>
      <c r="F4" s="58" t="s">
        <v>269</v>
      </c>
      <c r="G4" s="58" t="s">
        <v>270</v>
      </c>
      <c r="H4" s="58" t="s">
        <v>271</v>
      </c>
      <c r="I4" s="58" t="s">
        <v>272</v>
      </c>
      <c r="J4" s="58" t="s">
        <v>273</v>
      </c>
      <c r="K4" s="58" t="s">
        <v>274</v>
      </c>
      <c r="L4" s="58" t="s">
        <v>275</v>
      </c>
    </row>
    <row r="5" spans="1:12" ht="19.5" customHeight="1" x14ac:dyDescent="0.2">
      <c r="A5" s="59" t="s">
        <v>21</v>
      </c>
      <c r="B5" s="115">
        <v>16200</v>
      </c>
      <c r="C5" s="62">
        <v>13100</v>
      </c>
      <c r="D5" s="79">
        <f>B5-C5</f>
        <v>3100</v>
      </c>
      <c r="E5" s="116">
        <f>D5/B5</f>
        <v>0.19135802469135801</v>
      </c>
      <c r="F5" s="117" t="s">
        <v>92</v>
      </c>
      <c r="G5" s="117" t="s">
        <v>92</v>
      </c>
      <c r="H5" s="118">
        <f>D5</f>
        <v>3100</v>
      </c>
      <c r="I5" s="118">
        <v>7800</v>
      </c>
      <c r="J5" s="118">
        <v>1730</v>
      </c>
      <c r="K5" s="116">
        <f>(C5+I5)/B5</f>
        <v>1.2901234567901234</v>
      </c>
      <c r="L5" s="118">
        <v>6000</v>
      </c>
    </row>
    <row r="6" spans="1:12" ht="19.5" customHeight="1" x14ac:dyDescent="0.2">
      <c r="A6" s="23" t="s">
        <v>23</v>
      </c>
      <c r="B6" s="24">
        <v>17050</v>
      </c>
      <c r="C6" s="25">
        <v>14200</v>
      </c>
      <c r="D6" s="26">
        <f>B6-C6</f>
        <v>2850</v>
      </c>
      <c r="E6" s="27">
        <f>D6/B6</f>
        <v>0.16715542521994134</v>
      </c>
      <c r="F6" s="27">
        <f>(B6-B5)/B5</f>
        <v>5.2469135802469133E-2</v>
      </c>
      <c r="G6" s="27">
        <f>(C6-C5)/C5</f>
        <v>8.3969465648854963E-2</v>
      </c>
      <c r="H6" s="41">
        <f>H5+D6</f>
        <v>5950</v>
      </c>
      <c r="I6" s="41">
        <v>7500</v>
      </c>
      <c r="J6" s="41">
        <v>1730</v>
      </c>
      <c r="K6" s="27">
        <f>(C6+I6)/B6</f>
        <v>1.2727272727272727</v>
      </c>
      <c r="L6" s="41">
        <v>7500</v>
      </c>
    </row>
    <row r="7" spans="1:12" ht="19.5" customHeight="1" x14ac:dyDescent="0.2">
      <c r="A7" s="59" t="s">
        <v>24</v>
      </c>
      <c r="B7" s="115">
        <v>18450</v>
      </c>
      <c r="C7" s="62">
        <v>12830</v>
      </c>
      <c r="D7" s="79">
        <f>B7-C7</f>
        <v>5620</v>
      </c>
      <c r="E7" s="116">
        <f>D7/B7</f>
        <v>0.30460704607046069</v>
      </c>
      <c r="F7" s="116">
        <f>(B7-B6)/B6</f>
        <v>8.2111436950146624E-2</v>
      </c>
      <c r="G7" s="116">
        <f>(C7-C6)/C6</f>
        <v>-9.6478873239436616E-2</v>
      </c>
      <c r="H7" s="118">
        <f>H6+D7</f>
        <v>11570</v>
      </c>
      <c r="I7" s="118">
        <v>7340</v>
      </c>
      <c r="J7" s="118">
        <v>1730</v>
      </c>
      <c r="K7" s="116">
        <f>(C7+I7)/B7</f>
        <v>1.0932249322493226</v>
      </c>
      <c r="L7" s="118">
        <v>9000</v>
      </c>
    </row>
    <row r="8" spans="1:12" ht="25.5" customHeight="1" x14ac:dyDescent="0.2">
      <c r="A8" s="99" t="s">
        <v>276</v>
      </c>
      <c r="B8" s="119">
        <f>SUM(B5:B7)</f>
        <v>51700</v>
      </c>
      <c r="C8" s="119">
        <f>SUM(C5:C7)</f>
        <v>40130</v>
      </c>
      <c r="D8" s="119">
        <f>B8-C8</f>
        <v>11570</v>
      </c>
      <c r="E8" s="120">
        <f>D8/B8</f>
        <v>0.22379110251450676</v>
      </c>
      <c r="F8" s="121"/>
      <c r="G8" s="121"/>
      <c r="H8" s="121"/>
      <c r="I8" s="121"/>
      <c r="J8" s="121"/>
      <c r="K8" s="121"/>
      <c r="L8" s="119">
        <f>SUM(L5:L7)</f>
        <v>22500</v>
      </c>
    </row>
  </sheetData>
  <mergeCells count="2">
    <mergeCell ref="A1:L1"/>
    <mergeCell ref="A3:L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Ozet Dashboard</vt:lpstr>
      <vt:lpstr>Gelir-Gider Girisi</vt:lpstr>
      <vt:lpstr>Kredi Kartlari</vt:lpstr>
      <vt:lpstr>Taksit Takip</vt:lpstr>
      <vt:lpstr>Borc Takip</vt:lpstr>
      <vt:lpstr>Butce Plani</vt:lpstr>
      <vt:lpstr>Tasarruf Hedefleri</vt:lpstr>
      <vt:lpstr>Yillik Rapor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2026-03-19T07:57:26Z</dcterms:created>
  <dcterms:modified xsi:type="dcterms:W3CDTF">2026-03-19T07:57:26Z</dcterms:modified>
  <dc:language>en-US</dc:language>
</cp:coreProperties>
</file>